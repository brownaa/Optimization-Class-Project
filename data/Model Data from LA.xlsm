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codeName="ThisWorkbook" autoCompressPictures="0"/>
  <bookViews>
    <workbookView xWindow="0" yWindow="0" windowWidth="25600" windowHeight="16060" tabRatio="500"/>
  </bookViews>
  <sheets>
    <sheet name="Ingredient" sheetId="1" r:id="rId1"/>
    <sheet name="Dish" sheetId="2" r:id="rId2"/>
    <sheet name="Meal" sheetId="3" r:id="rId3"/>
    <sheet name="Nutrition Limits" sheetId="4" r:id="rId4"/>
    <sheet name="Nutrition Limits original data" sheetId="5" r:id="rId5"/>
  </sheets>
  <definedNames>
    <definedName name="solver_eng" localSheetId="1" hidden="1">1</definedName>
    <definedName name="solver_lin" localSheetId="1" hidden="1">2</definedName>
    <definedName name="solver_neg" localSheetId="1" hidden="1">1</definedName>
    <definedName name="solver_num" localSheetId="1" hidden="1">0</definedName>
    <definedName name="solver_opt" localSheetId="1" hidden="1">Dish!$BK$19</definedName>
    <definedName name="solver_typ" localSheetId="1" hidden="1">1</definedName>
    <definedName name="solver_val" localSheetId="1" hidden="1">0</definedName>
    <definedName name="solver_ver" localSheetId="1" hidden="1">2</definedName>
    <definedName name="Table1">Ingredient!$A$2:$O$58</definedName>
    <definedName name="Table36">Dish!$A$2:$BH$18</definedName>
    <definedName name="Table47">Meal!$A$2:$T$8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" i="1" l="1"/>
  <c r="H21" i="2"/>
  <c r="H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D64" i="1"/>
  <c r="E63" i="1"/>
  <c r="D63" i="1"/>
  <c r="D61" i="1"/>
  <c r="E60" i="1"/>
  <c r="D60" i="1"/>
  <c r="E59" i="1"/>
  <c r="D59" i="1"/>
  <c r="D58" i="1"/>
  <c r="D57" i="1"/>
  <c r="E57" i="1"/>
  <c r="D56" i="1"/>
  <c r="D53" i="1"/>
  <c r="E52" i="1"/>
  <c r="D52" i="1"/>
  <c r="D49" i="1"/>
  <c r="E45" i="1"/>
  <c r="E44" i="1"/>
  <c r="D44" i="1"/>
  <c r="D43" i="1"/>
  <c r="E42" i="1"/>
  <c r="D42" i="1"/>
  <c r="D41" i="1"/>
  <c r="D40" i="1"/>
  <c r="D38" i="1"/>
  <c r="D17" i="1"/>
  <c r="E37" i="1"/>
  <c r="D37" i="1"/>
  <c r="D35" i="1"/>
  <c r="E34" i="1"/>
  <c r="D34" i="1"/>
  <c r="E33" i="1"/>
  <c r="D33" i="1"/>
  <c r="D32" i="1"/>
  <c r="E28" i="1"/>
  <c r="D28" i="1"/>
  <c r="D26" i="1"/>
  <c r="E25" i="1"/>
  <c r="D25" i="1"/>
  <c r="D24" i="1"/>
  <c r="E24" i="1"/>
  <c r="E22" i="1"/>
  <c r="E20" i="1"/>
  <c r="D20" i="1"/>
  <c r="D15" i="1"/>
  <c r="D14" i="1"/>
  <c r="E14" i="1"/>
  <c r="E13" i="1"/>
  <c r="D13" i="1"/>
  <c r="D12" i="1"/>
  <c r="D11" i="1"/>
  <c r="E11" i="1"/>
  <c r="D10" i="1"/>
  <c r="E2" i="1"/>
  <c r="E8" i="1"/>
  <c r="E10" i="1"/>
  <c r="D9" i="1"/>
  <c r="D8" i="1"/>
  <c r="D7" i="1"/>
  <c r="D5" i="1"/>
  <c r="D3" i="1"/>
  <c r="F62" i="1"/>
  <c r="B47" i="1"/>
  <c r="B46" i="1"/>
  <c r="B45" i="1"/>
  <c r="B43" i="1"/>
  <c r="B42" i="1"/>
  <c r="H31" i="1"/>
  <c r="F31" i="1"/>
  <c r="B31" i="1"/>
  <c r="B3" i="1"/>
  <c r="C6" i="5"/>
  <c r="C7" i="5"/>
  <c r="D5" i="5"/>
  <c r="D4" i="5"/>
  <c r="D3" i="5"/>
</calcChain>
</file>

<file path=xl/comments1.xml><?xml version="1.0" encoding="utf-8"?>
<comments xmlns="http://schemas.openxmlformats.org/spreadsheetml/2006/main">
  <authors>
    <author>Aaron Brown</author>
  </authors>
  <commentList>
    <comment ref="D6" authorId="0">
      <text>
        <r>
          <rPr>
            <b/>
            <sz val="9"/>
            <color indexed="81"/>
            <rFont val="Arial"/>
          </rPr>
          <t>Aaron Brown:</t>
        </r>
        <r>
          <rPr>
            <sz val="9"/>
            <color indexed="81"/>
            <rFont val="Arial"/>
          </rPr>
          <t xml:space="preserve">
from personal experience</t>
        </r>
      </text>
    </comment>
    <comment ref="D14" authorId="0">
      <text>
        <r>
          <rPr>
            <b/>
            <sz val="9"/>
            <color indexed="81"/>
            <rFont val="Arial"/>
          </rPr>
          <t>Aaron Brown:
converted the weight from the organic measure to the regular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color indexed="8"/>
            <rFont val="Arial"/>
          </rPr>
          <t>meal 6 and 7 can meet this
	-Aaron Brown</t>
        </r>
      </text>
    </comment>
    <comment ref="D3" authorId="0">
      <text>
        <r>
          <rPr>
            <sz val="10"/>
            <color indexed="8"/>
            <rFont val="Arial"/>
          </rPr>
          <t>meals 1-6 cannot meet this
	-Aaron Brown</t>
        </r>
      </text>
    </comment>
    <comment ref="D4" authorId="0">
      <text>
        <r>
          <rPr>
            <sz val="10"/>
            <color indexed="8"/>
            <rFont val="Arial"/>
          </rPr>
          <t>1,2,4,5,6
	-Aaron Brown</t>
        </r>
      </text>
    </comment>
    <comment ref="D5" authorId="0">
      <text>
        <r>
          <rPr>
            <sz val="10"/>
            <color indexed="8"/>
            <rFont val="Arial"/>
          </rPr>
          <t>meal 4 cannot meet this
	-Aaron Brown</t>
        </r>
      </text>
    </comment>
    <comment ref="C6" authorId="0">
      <text>
        <r>
          <rPr>
            <sz val="10"/>
            <color indexed="8"/>
            <rFont val="Arial"/>
          </rPr>
          <t>meal 1, 2, 3 and 7 cannot meet this
	-Aaron Brown</t>
        </r>
      </text>
    </comment>
    <comment ref="C7" authorId="0">
      <text>
        <r>
          <rPr>
            <sz val="10"/>
            <color indexed="8"/>
            <rFont val="Arial"/>
          </rPr>
          <t>meal 7 cannot meet this
	-Aaron Brown</t>
        </r>
      </text>
    </comment>
    <comment ref="C8" authorId="0">
      <text>
        <r>
          <rPr>
            <sz val="10"/>
            <color indexed="8"/>
            <rFont val="Arial"/>
          </rPr>
          <t>meal 5 cannot meet this
	-Aaron Brown</t>
        </r>
      </text>
    </comment>
    <comment ref="A10" authorId="0">
      <text>
        <r>
          <rPr>
            <sz val="10"/>
            <color indexed="8"/>
            <rFont val="Arial"/>
          </rPr>
          <t>meal 7 cannot meet this constraint
	-Aaron Brown</t>
        </r>
      </text>
    </comment>
    <comment ref="C10" authorId="0">
      <text>
        <r>
          <rPr>
            <sz val="10"/>
            <color indexed="8"/>
            <rFont val="Arial"/>
          </rPr>
          <t>meal 3, 4, 5, and 7 cannot meet this
	-Aaron Brown</t>
        </r>
      </text>
    </comment>
    <comment ref="C11" authorId="0">
      <text>
        <r>
          <rPr>
            <sz val="10"/>
            <color indexed="8"/>
            <rFont val="Arial"/>
          </rPr>
          <t>meal 3, 4, 5, and 7 cannot meet this
	-Aaron Brown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D2" authorId="0">
      <text>
        <r>
          <rPr>
            <sz val="10"/>
            <color indexed="8"/>
            <rFont val="Arial"/>
          </rPr>
          <t>meal 6 and 7 can meet this
	-Aaron Brown</t>
        </r>
      </text>
    </comment>
    <comment ref="D3" authorId="0">
      <text>
        <r>
          <rPr>
            <sz val="10"/>
            <color indexed="8"/>
            <rFont val="Arial"/>
          </rPr>
          <t>meals 1-6 cannot meet this
	-Aaron Brown</t>
        </r>
      </text>
    </comment>
    <comment ref="D4" authorId="0">
      <text>
        <r>
          <rPr>
            <sz val="10"/>
            <color indexed="8"/>
            <rFont val="Arial"/>
          </rPr>
          <t>1,2,4,5,6
	-Aaron Brown</t>
        </r>
      </text>
    </comment>
    <comment ref="D5" authorId="0">
      <text>
        <r>
          <rPr>
            <sz val="10"/>
            <color indexed="8"/>
            <rFont val="Arial"/>
          </rPr>
          <t>meal 4 cannot meet this
	-Aaron Brown</t>
        </r>
      </text>
    </comment>
    <comment ref="C6" authorId="0">
      <text>
        <r>
          <rPr>
            <sz val="10"/>
            <color indexed="8"/>
            <rFont val="Arial"/>
          </rPr>
          <t>meal 1, 2, 3 and 7 cannot meet this
	-Aaron Brown</t>
        </r>
      </text>
    </comment>
    <comment ref="C7" authorId="0">
      <text>
        <r>
          <rPr>
            <sz val="10"/>
            <color indexed="8"/>
            <rFont val="Arial"/>
          </rPr>
          <t>meal 7 cannot meet this
	-Aaron Brown</t>
        </r>
      </text>
    </comment>
    <comment ref="C8" authorId="0">
      <text>
        <r>
          <rPr>
            <sz val="10"/>
            <color indexed="8"/>
            <rFont val="Arial"/>
          </rPr>
          <t>meal 5 cannot meet this
	-Aaron Brown</t>
        </r>
      </text>
    </comment>
    <comment ref="A10" authorId="0">
      <text>
        <r>
          <rPr>
            <sz val="10"/>
            <color indexed="8"/>
            <rFont val="Arial"/>
          </rPr>
          <t>meal 7 cannot meet this constraint
	-Aaron Brown</t>
        </r>
      </text>
    </comment>
    <comment ref="C10" authorId="0">
      <text>
        <r>
          <rPr>
            <sz val="10"/>
            <color indexed="8"/>
            <rFont val="Arial"/>
          </rPr>
          <t>meal 3, 4, 5, and 7 cannot meet this
	-Aaron Brown</t>
        </r>
      </text>
    </comment>
    <comment ref="C11" authorId="0">
      <text>
        <r>
          <rPr>
            <sz val="10"/>
            <color indexed="8"/>
            <rFont val="Arial"/>
          </rPr>
          <t>meal 3, 4, 5, and 7 cannot meet this
	-Aaron Brown</t>
        </r>
      </text>
    </comment>
  </commentList>
</comments>
</file>

<file path=xl/sharedStrings.xml><?xml version="1.0" encoding="utf-8"?>
<sst xmlns="http://schemas.openxmlformats.org/spreadsheetml/2006/main" count="269" uniqueCount="129">
  <si>
    <t>Meal 24</t>
  </si>
  <si>
    <t>Meal 25</t>
  </si>
  <si>
    <t>Meal 26</t>
  </si>
  <si>
    <t>Meal 27</t>
  </si>
  <si>
    <t>ID</t>
  </si>
  <si>
    <t>Ingredient</t>
  </si>
  <si>
    <t>Unit of Measure</t>
  </si>
  <si>
    <t>Cost</t>
  </si>
  <si>
    <t>Green Cost</t>
  </si>
  <si>
    <t>CAL</t>
  </si>
  <si>
    <t>Fat (g)</t>
  </si>
  <si>
    <t>Na (mg)</t>
  </si>
  <si>
    <t>carb (g)</t>
  </si>
  <si>
    <t>Fiber (g)</t>
  </si>
  <si>
    <t>Protien(g)</t>
  </si>
  <si>
    <t>pork tenderloin</t>
  </si>
  <si>
    <t>lb</t>
  </si>
  <si>
    <t>oz</t>
  </si>
  <si>
    <t>water</t>
  </si>
  <si>
    <t>cup</t>
  </si>
  <si>
    <t>red wine</t>
  </si>
  <si>
    <t>garlic</t>
  </si>
  <si>
    <t>soy sauce</t>
  </si>
  <si>
    <t>tbsp</t>
  </si>
  <si>
    <t>skinless chicken breast</t>
  </si>
  <si>
    <t>salt</t>
  </si>
  <si>
    <t>tsp</t>
  </si>
  <si>
    <t>yellow mustard</t>
  </si>
  <si>
    <t>honey</t>
  </si>
  <si>
    <t>corn syrup</t>
  </si>
  <si>
    <t>mayonnaise</t>
  </si>
  <si>
    <t>dried onion flakes</t>
  </si>
  <si>
    <t>vegetable oil</t>
  </si>
  <si>
    <t>mushrooms</t>
  </si>
  <si>
    <t>colby-jack cheese</t>
  </si>
  <si>
    <t>cond. cream of mushroom soup</t>
  </si>
  <si>
    <t>can(10.75oz)</t>
  </si>
  <si>
    <t>pot roast</t>
  </si>
  <si>
    <t>olive oil</t>
  </si>
  <si>
    <t>salmon filet</t>
  </si>
  <si>
    <t>filet</t>
  </si>
  <si>
    <t>potatoes</t>
  </si>
  <si>
    <t>each</t>
  </si>
  <si>
    <t>onion</t>
  </si>
  <si>
    <t>butter</t>
  </si>
  <si>
    <t>milk</t>
  </si>
  <si>
    <t>cheddar cheese</t>
  </si>
  <si>
    <t>cream cheese</t>
  </si>
  <si>
    <t>sugar</t>
  </si>
  <si>
    <t>egg</t>
  </si>
  <si>
    <t>pumpkin puree</t>
  </si>
  <si>
    <t>can(14.5oz)</t>
  </si>
  <si>
    <t>parmesan cheese</t>
  </si>
  <si>
    <t>pineapple juice</t>
  </si>
  <si>
    <t>flour</t>
  </si>
  <si>
    <t>baking powder</t>
  </si>
  <si>
    <t>pineapple</t>
  </si>
  <si>
    <t>balsamic vinegar</t>
  </si>
  <si>
    <t>ginger root</t>
  </si>
  <si>
    <t>sweet potatoe</t>
  </si>
  <si>
    <t>heavy cream</t>
  </si>
  <si>
    <t>pecans</t>
  </si>
  <si>
    <t>cherry tomato</t>
  </si>
  <si>
    <t>sriracha</t>
  </si>
  <si>
    <t>sessame oil</t>
  </si>
  <si>
    <t>jalapeno pepper</t>
  </si>
  <si>
    <t>eggplant</t>
  </si>
  <si>
    <t>peach(sliced)</t>
  </si>
  <si>
    <t>blackberry</t>
  </si>
  <si>
    <t>brussel sprouts</t>
  </si>
  <si>
    <t>broccoli(head)</t>
  </si>
  <si>
    <t>9in pie crust</t>
  </si>
  <si>
    <t>strawberry</t>
  </si>
  <si>
    <t>pint</t>
  </si>
  <si>
    <t>blueberry</t>
  </si>
  <si>
    <t>Dish</t>
  </si>
  <si>
    <t>Servings</t>
  </si>
  <si>
    <t>Meal</t>
  </si>
  <si>
    <t>Meal ID</t>
  </si>
  <si>
    <t>Meal 1</t>
  </si>
  <si>
    <t>Meal 2</t>
  </si>
  <si>
    <t>Meal 3</t>
  </si>
  <si>
    <t>Meal 4</t>
  </si>
  <si>
    <t>Meal 5</t>
  </si>
  <si>
    <t>Meal 6</t>
  </si>
  <si>
    <t>Meal 7</t>
  </si>
  <si>
    <t>Key</t>
  </si>
  <si>
    <t>USDA DV</t>
  </si>
  <si>
    <t>Lower Limit</t>
  </si>
  <si>
    <t>Upper Limit</t>
  </si>
  <si>
    <t>Meal Type</t>
  </si>
  <si>
    <t>Meat</t>
  </si>
  <si>
    <t>Veg</t>
  </si>
  <si>
    <t>Pasta with Tomato and Bocconcini</t>
  </si>
  <si>
    <t>dry onion soup mix</t>
  </si>
  <si>
    <t>green beans(can)</t>
  </si>
  <si>
    <t>green beans(whole)</t>
  </si>
  <si>
    <t>garlic salt</t>
  </si>
  <si>
    <t>tofu</t>
  </si>
  <si>
    <t>zucchini</t>
  </si>
  <si>
    <t>red bell pepper</t>
  </si>
  <si>
    <t>parsley</t>
  </si>
  <si>
    <t>penne pasta</t>
  </si>
  <si>
    <t>VA</t>
  </si>
  <si>
    <t>VC</t>
  </si>
  <si>
    <t>Ca</t>
  </si>
  <si>
    <t>Fe</t>
  </si>
  <si>
    <t>mozzarella cheese</t>
  </si>
  <si>
    <t>Meal 8</t>
  </si>
  <si>
    <t>Meal 9</t>
  </si>
  <si>
    <t>Meal 10</t>
  </si>
  <si>
    <t>Meal 11</t>
  </si>
  <si>
    <t>Meal 12</t>
  </si>
  <si>
    <t>Meal 13</t>
  </si>
  <si>
    <t>Meal 14</t>
  </si>
  <si>
    <t>Meal 15</t>
  </si>
  <si>
    <t>Meal 16</t>
  </si>
  <si>
    <t>Meal 17</t>
  </si>
  <si>
    <t>Couscous</t>
  </si>
  <si>
    <t xml:space="preserve"> 
Chunky Spiced Ground Beef Skillet Dinner</t>
  </si>
  <si>
    <t>lean ground beef</t>
  </si>
  <si>
    <t>carrot</t>
  </si>
  <si>
    <t>couscous</t>
  </si>
  <si>
    <t>Meal 18</t>
  </si>
  <si>
    <t>Meal 19</t>
  </si>
  <si>
    <t>Meal 20</t>
  </si>
  <si>
    <t>Meal 21</t>
  </si>
  <si>
    <t>Meal 22</t>
  </si>
  <si>
    <t>Meal 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</si>
</sst>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0"/>
      <color indexed="8"/>
      <name val="Arial"/>
    </font>
    <font>
      <sz val="12"/>
      <color indexed="8"/>
      <name val="Calibri"/>
    </font>
    <font>
      <sz val="12"/>
      <color indexed="10"/>
      <name val="Calibri"/>
    </font>
    <font>
      <sz val="12"/>
      <color indexed="8"/>
      <name val="Calibri"/>
    </font>
    <font>
      <sz val="12"/>
      <color indexed="8"/>
      <name val="Calibri"/>
    </font>
    <font>
      <u/>
      <sz val="12"/>
      <color indexed="10"/>
      <name val="Calibri"/>
    </font>
    <font>
      <sz val="12"/>
      <color indexed="8"/>
      <name val="Calibri"/>
    </font>
    <font>
      <u/>
      <sz val="12"/>
      <color indexed="12"/>
      <name val="Calibri"/>
    </font>
    <font>
      <sz val="12"/>
      <color indexed="10"/>
      <name val="Calibri"/>
    </font>
    <font>
      <u/>
      <sz val="12"/>
      <color indexed="12"/>
      <name val="Calibri"/>
    </font>
    <font>
      <sz val="12"/>
      <color indexed="10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u/>
      <sz val="12"/>
      <color indexed="12"/>
      <name val="Calibri"/>
    </font>
    <font>
      <sz val="12"/>
      <color indexed="8"/>
      <name val="Calibri"/>
    </font>
    <font>
      <sz val="12"/>
      <color indexed="8"/>
      <name val="Calibri"/>
    </font>
    <font>
      <sz val="12"/>
      <color indexed="8"/>
      <name val="Calibri"/>
    </font>
    <font>
      <u/>
      <sz val="12"/>
      <color indexed="12"/>
      <name val="Calibri"/>
    </font>
    <font>
      <sz val="12"/>
      <color indexed="8"/>
      <name val="Calibri"/>
    </font>
    <font>
      <u/>
      <sz val="12"/>
      <color indexed="12"/>
      <name val="Calibri"/>
    </font>
    <font>
      <sz val="12"/>
      <color indexed="8"/>
      <name val="Calibri"/>
    </font>
    <font>
      <u/>
      <sz val="12"/>
      <color indexed="12"/>
      <name val="Calibri"/>
    </font>
    <font>
      <sz val="12"/>
      <color indexed="8"/>
      <name val="Calibri"/>
    </font>
    <font>
      <u/>
      <sz val="12"/>
      <color indexed="12"/>
      <name val="Calibri"/>
    </font>
    <font>
      <u/>
      <sz val="12"/>
      <color indexed="12"/>
      <name val="Calibri"/>
    </font>
    <font>
      <u/>
      <sz val="10"/>
      <color indexed="20"/>
      <name val="Arial"/>
    </font>
    <font>
      <u/>
      <sz val="10"/>
      <color indexed="12"/>
      <name val="Arial"/>
    </font>
    <font>
      <sz val="9"/>
      <color indexed="81"/>
      <name val="Arial"/>
    </font>
    <font>
      <b/>
      <sz val="9"/>
      <color indexed="81"/>
      <name val="Arial"/>
    </font>
    <font>
      <sz val="8"/>
      <name val="Verdana"/>
    </font>
    <font>
      <u/>
      <sz val="10"/>
      <color theme="11"/>
      <name val="Arial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6923C"/>
        <bgColor indexed="64"/>
      </patternFill>
    </fill>
    <fill>
      <patternFill patternType="solid">
        <fgColor rgb="FFD99594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2D69B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</fills>
  <borders count="6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44"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4" fillId="3" borderId="1" xfId="0" applyFont="1" applyFill="1" applyBorder="1" applyAlignment="1">
      <alignment horizontal="center"/>
    </xf>
    <xf numFmtId="0" fontId="0" fillId="4" borderId="0" xfId="0" applyFill="1" applyAlignment="1">
      <alignment wrapText="1"/>
    </xf>
    <xf numFmtId="0" fontId="7" fillId="5" borderId="0" xfId="0" applyFont="1" applyFill="1" applyAlignment="1">
      <alignment wrapText="1"/>
    </xf>
    <xf numFmtId="0" fontId="9" fillId="6" borderId="0" xfId="0" applyFont="1" applyFill="1" applyAlignment="1">
      <alignment wrapText="1"/>
    </xf>
    <xf numFmtId="0" fontId="11" fillId="0" borderId="2" xfId="0" applyFont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7" fillId="0" borderId="4" xfId="0" applyFont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21" fillId="0" borderId="0" xfId="0" applyFont="1"/>
    <xf numFmtId="0" fontId="22" fillId="0" borderId="0" xfId="0" applyFont="1"/>
    <xf numFmtId="0" fontId="23" fillId="0" borderId="0" xfId="0" applyFont="1" applyAlignment="1">
      <alignment wrapText="1"/>
    </xf>
    <xf numFmtId="0" fontId="24" fillId="9" borderId="0" xfId="0" applyFont="1" applyFill="1" applyAlignment="1">
      <alignment wrapText="1"/>
    </xf>
    <xf numFmtId="0" fontId="26" fillId="10" borderId="0" xfId="0" applyFont="1" applyFill="1" applyAlignment="1">
      <alignment wrapText="1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21" fillId="0" borderId="0" xfId="0" applyFont="1" applyAlignment="1">
      <alignment wrapText="1"/>
    </xf>
    <xf numFmtId="0" fontId="29" fillId="0" borderId="0" xfId="2" applyAlignment="1">
      <alignment wrapText="1"/>
    </xf>
    <xf numFmtId="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29" fillId="0" borderId="0" xfId="2"/>
    <xf numFmtId="0" fontId="1" fillId="0" borderId="0" xfId="0" applyFont="1"/>
    <xf numFmtId="0" fontId="21" fillId="0" borderId="0" xfId="0" applyFont="1" applyBorder="1"/>
    <xf numFmtId="0" fontId="19" fillId="0" borderId="0" xfId="0" applyFont="1" applyBorder="1"/>
    <xf numFmtId="0" fontId="1" fillId="11" borderId="0" xfId="0" applyFont="1" applyFill="1" applyBorder="1"/>
    <xf numFmtId="0" fontId="13" fillId="0" borderId="0" xfId="0" applyFont="1" applyBorder="1"/>
    <xf numFmtId="0" fontId="25" fillId="12" borderId="0" xfId="0" applyFont="1" applyFill="1" applyBorder="1"/>
    <xf numFmtId="0" fontId="3" fillId="11" borderId="0" xfId="0" applyFont="1" applyFill="1" applyBorder="1"/>
    <xf numFmtId="0" fontId="22" fillId="0" borderId="0" xfId="0" applyFont="1" applyBorder="1"/>
    <xf numFmtId="0" fontId="6" fillId="0" borderId="0" xfId="0" applyFont="1" applyBorder="1"/>
    <xf numFmtId="0" fontId="20" fillId="0" borderId="0" xfId="0" applyFont="1" applyBorder="1"/>
    <xf numFmtId="0" fontId="27" fillId="12" borderId="0" xfId="0" applyFont="1" applyFill="1" applyBorder="1"/>
    <xf numFmtId="0" fontId="5" fillId="12" borderId="0" xfId="0" applyFont="1" applyFill="1" applyBorder="1"/>
    <xf numFmtId="0" fontId="16" fillId="11" borderId="0" xfId="0" applyFont="1" applyFill="1" applyBorder="1"/>
    <xf numFmtId="0" fontId="10" fillId="11" borderId="0" xfId="0" applyFont="1" applyFill="1" applyBorder="1"/>
    <xf numFmtId="0" fontId="8" fillId="12" borderId="0" xfId="0" applyFont="1" applyFill="1" applyBorder="1"/>
    <xf numFmtId="0" fontId="2" fillId="11" borderId="0" xfId="0" applyFont="1" applyFill="1" applyBorder="1"/>
    <xf numFmtId="0" fontId="14" fillId="12" borderId="0" xfId="0" applyFont="1" applyFill="1" applyBorder="1"/>
    <xf numFmtId="0" fontId="0" fillId="0" borderId="0" xfId="0" applyBorder="1" applyAlignment="1">
      <alignment wrapText="1"/>
    </xf>
    <xf numFmtId="0" fontId="29" fillId="0" borderId="0" xfId="2" applyBorder="1" applyAlignment="1">
      <alignment wrapText="1"/>
    </xf>
    <xf numFmtId="0" fontId="1" fillId="0" borderId="0" xfId="0" applyFont="1" applyBorder="1"/>
  </cellXfs>
  <cellStyles count="5">
    <cellStyle name="Followed Hyperlink" xfId="1" builtinId="9" hidden="1"/>
    <cellStyle name="Followed Hyperlink" xfId="3" builtinId="9" hidden="1"/>
    <cellStyle name="Followed Hyperlink" xfId="4" builtinId="9" hidden="1"/>
    <cellStyle name="Hyperlink" xfId="2" builtinId="8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103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2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3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4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5" name="Rectangle 10" hidden="1"/>
        <xdr:cNvSpPr>
          <a:spLocks noSelect="1" noChangeArrowheads="1"/>
        </xdr:cNvSpPr>
      </xdr:nvSpPr>
      <xdr:spPr bwMode="auto">
        <a:xfrm>
          <a:off x="0" y="0"/>
          <a:ext cx="12700000" cy="1270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6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7" name="AutoShape 10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9</xdr:col>
      <xdr:colOff>927100</xdr:colOff>
      <xdr:row>0</xdr:row>
      <xdr:rowOff>0</xdr:rowOff>
    </xdr:from>
    <xdr:to>
      <xdr:col>19</xdr:col>
      <xdr:colOff>546100</xdr:colOff>
      <xdr:row>83</xdr:row>
      <xdr:rowOff>50800</xdr:rowOff>
    </xdr:to>
    <xdr:sp macro="" textlink="">
      <xdr:nvSpPr>
        <xdr:cNvPr id="8" name="AutoShape 10"/>
        <xdr:cNvSpPr>
          <a:spLocks noChangeArrowheads="1"/>
        </xdr:cNvSpPr>
      </xdr:nvSpPr>
      <xdr:spPr bwMode="auto">
        <a:xfrm>
          <a:off x="12700000" y="0"/>
          <a:ext cx="12700000" cy="12700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5131" name="AutoShape 11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9</xdr:col>
      <xdr:colOff>927100</xdr:colOff>
      <xdr:row>83</xdr:row>
      <xdr:rowOff>50800</xdr:rowOff>
    </xdr:to>
    <xdr:sp macro="" textlink="">
      <xdr:nvSpPr>
        <xdr:cNvPr id="2" name="AutoShape 11"/>
        <xdr:cNvSpPr>
          <a:spLocks noChangeArrowheads="1"/>
        </xdr:cNvSpPr>
      </xdr:nvSpPr>
      <xdr:spPr bwMode="auto">
        <a:xfrm>
          <a:off x="0" y="0"/>
          <a:ext cx="12700000" cy="12700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  <xdr:twoCellAnchor>
    <xdr:from>
      <xdr:col>9</xdr:col>
      <xdr:colOff>927100</xdr:colOff>
      <xdr:row>0</xdr:row>
      <xdr:rowOff>0</xdr:rowOff>
    </xdr:from>
    <xdr:to>
      <xdr:col>19</xdr:col>
      <xdr:colOff>546100</xdr:colOff>
      <xdr:row>83</xdr:row>
      <xdr:rowOff>50800</xdr:rowOff>
    </xdr:to>
    <xdr:sp macro="" textlink="">
      <xdr:nvSpPr>
        <xdr:cNvPr id="3" name="AutoShape 11"/>
        <xdr:cNvSpPr>
          <a:spLocks noChangeArrowheads="1"/>
        </xdr:cNvSpPr>
      </xdr:nvSpPr>
      <xdr:spPr bwMode="auto">
        <a:xfrm>
          <a:off x="12700000" y="0"/>
          <a:ext cx="12700000" cy="12700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hyperlink" Target="http://www.sears.com/shc/s/p_10153_12605_SPM1498914701P?ci_src=184425893&amp;ci_sku=SPM1623702014&amp;sid=IDx20130125xMPFDGx011" TargetMode="External"/><Relationship Id="rId20" Type="http://schemas.openxmlformats.org/officeDocument/2006/relationships/comments" Target="../comments1.xml"/><Relationship Id="rId10" Type="http://schemas.openxmlformats.org/officeDocument/2006/relationships/hyperlink" Target="http://www.vitacost.com/eden-foods-organic-yellow-mustard-9-oz-1?csrc=GPF-PA-024182002102&amp;ci_gpa=pla&amp;ci_kw=&amp;ci_src=17588969&amp;ci_sku=024182002102&amp;ci_src=17588969&amp;ci_sku=024182002102&amp;gclid=CLLp_8DZ67gCFZCe4AodMiIANw" TargetMode="External"/><Relationship Id="rId11" Type="http://schemas.openxmlformats.org/officeDocument/2006/relationships/hyperlink" Target="http://www.vitaminshoppe.com/store/en/browse/sku_detail.jsp?id=RJ-1029&amp;sourceType=sc&amp;source=FG&amp;adGroup=0-20&amp;keyword=RJ-1029&amp;cm_mmc=Google+Shopping-_-Product+Listing+Ads-_-0-20-_-RJ-1029&amp;gclid=COOv4cLa67gCFYik4AodeisAfQ" TargetMode="External"/><Relationship Id="rId12" Type="http://schemas.openxmlformats.org/officeDocument/2006/relationships/hyperlink" Target="http://www.spiceplace.com/pure_clover_honey.php" TargetMode="External"/><Relationship Id="rId13" Type="http://schemas.openxmlformats.org/officeDocument/2006/relationships/hyperlink" Target="http://www.walmart.com/ip/10294410?wmlspartner=wlpa&amp;adid=22222222227000000000&amp;wl0=&amp;wl1=g&amp;wl2=c&amp;wl3=21486607510&amp;wl4=&amp;wl5=pla&amp;wl6=19880599990&amp;veh=sem" TargetMode="External"/><Relationship Id="rId14" Type="http://schemas.openxmlformats.org/officeDocument/2006/relationships/hyperlink" Target="http://www.walgreens.com/store/c/hellmann's-real-mayonnaise/ID=prod2145058-product?ext=gooGrocery_PLA_Condiments_prod2145058_pla&amp;adtype=%7Badtype%7D&amp;kpid=prod2145058&amp;sst=5a3266f7-cbe7-c549-93cc-00004cc4bf5b" TargetMode="External"/><Relationship Id="rId15" Type="http://schemas.openxmlformats.org/officeDocument/2006/relationships/hyperlink" Target="http://spectrumorganics.elsstore.com/view/category/2512-mayonnaises---eggless-mayo/" TargetMode="External"/><Relationship Id="rId16" Type="http://schemas.openxmlformats.org/officeDocument/2006/relationships/hyperlink" Target="http://www.vitacost.com/frontier-natural-products-organic-white-onion-flakes?csrc=GPF-PA-089836183712&amp;ci_gpa=pla&amp;ci_kw=&amp;ci_src=17588969&amp;ci_sku=089836183712&amp;ci_src=17588969&amp;ci_sku=089836183712&amp;gclid=CNXnjODc67gCFUOd4AodTS8ABQ" TargetMode="External"/><Relationship Id="rId17" Type="http://schemas.openxmlformats.org/officeDocument/2006/relationships/hyperlink" Target="http://www.vitaglo.com/fntr336123.html?utm_source=googlepepla&amp;utm_medium=adwords&amp;id=20838275474&amp;utm_content=pla" TargetMode="External"/><Relationship Id="rId18" Type="http://schemas.openxmlformats.org/officeDocument/2006/relationships/hyperlink" Target="http://www.walmart.com/ip/10308191?wmlspartner=wlpa&amp;adid=22222222227000000000&amp;wl0=&amp;wl1=g&amp;wl2=c&amp;wl3=21486607510&amp;wl4=&amp;wl5=pla&amp;wl6=19880599990&amp;veh=sem" TargetMode="External"/><Relationship Id="rId19" Type="http://schemas.openxmlformats.org/officeDocument/2006/relationships/vmlDrawing" Target="../drawings/vmlDrawing1.vml"/><Relationship Id="rId1" Type="http://schemas.openxmlformats.org/officeDocument/2006/relationships/hyperlink" Target="http://www.caloriegallery.com/foods/calories-in-penne-pasta-cooked.htm" TargetMode="External"/><Relationship Id="rId2" Type="http://schemas.openxmlformats.org/officeDocument/2006/relationships/hyperlink" Target="http://www.surlatable.com/product/PRO-1245919/?affsrcid=Aff0001&amp;mr:trackingCode=180B84DE-8DEC-E211-A0B9-BC305BF9268C&amp;mr:referralID=NA&amp;mr:adType=pla&amp;mr:ad=30153266381&amp;mr:keyword=&amp;mr:match=&amp;mr:filter=24156051701&amp;origin=pla" TargetMode="External"/><Relationship Id="rId3" Type="http://schemas.openxmlformats.org/officeDocument/2006/relationships/hyperlink" Target="http://www.spiceplace.com/lipton_onion_soup_mix.php" TargetMode="External"/><Relationship Id="rId4" Type="http://schemas.openxmlformats.org/officeDocument/2006/relationships/hyperlink" Target="http://www.sokolin.com/detail.aspx?id=37117&amp;vfsku=60553.750.AI&amp;gpla=pla&amp;gclid=CK30odbU67gCFZKi4Aod-iwAbw" TargetMode="External"/><Relationship Id="rId5" Type="http://schemas.openxmlformats.org/officeDocument/2006/relationships/hyperlink" Target="http://www.organicprairie.com/product/276/under-50?gclid=CMHNt53V67gCFUKe4AoduToAyw" TargetMode="External"/><Relationship Id="rId6" Type="http://schemas.openxmlformats.org/officeDocument/2006/relationships/hyperlink" Target="http://www.google.com/shopping/product/1699972285137415206?hl=en&amp;gs_rn=24&amp;gs_ri=psy-ab&amp;ds=sh&amp;pq=garlic&amp;cp=5&amp;gs_id=5t&amp;xhr=t&amp;q=soy%20sauce&amp;pf=p&amp;sclient=psy-ab&amp;oq=soy%20s&amp;pbx=1&amp;bav=on.2,or.r_cp.r_qf.&amp;bvm=bv.50310824,d.dmg&amp;biw=1338&amp;bih=768&amp;tch=1&amp;ech=6&amp;psi=T2gCUtz" TargetMode="External"/><Relationship Id="rId7" Type="http://schemas.openxmlformats.org/officeDocument/2006/relationships/hyperlink" Target="http://www.organicprairie.com/product/290/50-75?gclid=CLGT2bTX67gCFRGg4AodelgAgg" TargetMode="External"/><Relationship Id="rId8" Type="http://schemas.openxmlformats.org/officeDocument/2006/relationships/hyperlink" Target="http://www.omahasteaks.com/servlet/oh?DSP=14&amp;AID=1&amp;SRC=AE2886&amp;ITMSUF=NSF&amp;IID=1327&amp;esvt=0-GOUSC&amp;esvadt=9-4797-634-1&amp;esvaid=40098&amp;gclid=COfZt4PY67gCFcmf4AodSmAAm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canadianliving.com/food/quick_and_easy/pasta_with_tomato_and_bocconcini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64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6" sqref="D16:E64"/>
    </sheetView>
  </sheetViews>
  <sheetFormatPr baseColWidth="10" defaultColWidth="14.1640625" defaultRowHeight="15" customHeight="1" x14ac:dyDescent="0"/>
  <cols>
    <col min="1" max="1" width="7.33203125" customWidth="1"/>
    <col min="2" max="2" width="21.83203125" customWidth="1"/>
    <col min="4" max="4" width="16.5" customWidth="1"/>
  </cols>
  <sheetData>
    <row r="1" spans="1:15" ht="15" customHeight="1">
      <c r="A1" s="11" t="s">
        <v>4</v>
      </c>
      <c r="B1" s="11" t="s">
        <v>5</v>
      </c>
      <c r="C1" s="11" t="s">
        <v>6</v>
      </c>
      <c r="D1" s="11" t="s">
        <v>7</v>
      </c>
      <c r="E1" s="11" t="s">
        <v>8</v>
      </c>
      <c r="F1" s="11" t="s">
        <v>9</v>
      </c>
      <c r="G1" s="11" t="s">
        <v>10</v>
      </c>
      <c r="H1" s="11" t="s">
        <v>11</v>
      </c>
      <c r="I1" s="11" t="s">
        <v>12</v>
      </c>
      <c r="J1" s="11" t="s">
        <v>13</v>
      </c>
      <c r="K1" s="11" t="s">
        <v>14</v>
      </c>
      <c r="L1" t="s">
        <v>103</v>
      </c>
      <c r="M1" t="s">
        <v>104</v>
      </c>
      <c r="N1" t="s">
        <v>105</v>
      </c>
      <c r="O1" t="s">
        <v>106</v>
      </c>
    </row>
    <row r="2" spans="1:15" ht="15" customHeight="1">
      <c r="A2" s="11">
        <v>1</v>
      </c>
      <c r="B2" s="11" t="s">
        <v>15</v>
      </c>
      <c r="C2" s="11" t="s">
        <v>16</v>
      </c>
      <c r="D2" s="23">
        <v>24.95</v>
      </c>
      <c r="E2" s="23">
        <f>52.89/4*14/8</f>
        <v>23.139375000000001</v>
      </c>
      <c r="F2" s="11">
        <v>912</v>
      </c>
      <c r="G2" s="11">
        <v>37.299999999999997</v>
      </c>
      <c r="H2" s="11">
        <v>249.6</v>
      </c>
      <c r="I2" s="11">
        <v>0</v>
      </c>
      <c r="J2" s="11">
        <v>0</v>
      </c>
      <c r="K2" s="11">
        <v>133.30000000000001</v>
      </c>
      <c r="L2">
        <v>5.0000000000000001E-3</v>
      </c>
      <c r="M2">
        <v>3.2000000000000001E-2</v>
      </c>
      <c r="N2">
        <v>0.21299999999999999</v>
      </c>
      <c r="O2">
        <v>0.36299999999999999</v>
      </c>
    </row>
    <row r="3" spans="1:15" ht="15" customHeight="1">
      <c r="A3" s="11">
        <v>2</v>
      </c>
      <c r="B3" s="12" t="str">
        <f>HYPERLINK("http://www.makinglifebetter.com/microsite/detail/255844/lipton-recipe-secrets","dry onion soup mix")</f>
        <v>dry onion soup mix</v>
      </c>
      <c r="C3" s="11" t="s">
        <v>17</v>
      </c>
      <c r="D3" s="23">
        <f>13.38/6/2</f>
        <v>1.115</v>
      </c>
      <c r="E3" s="11"/>
      <c r="F3" s="11">
        <v>40</v>
      </c>
      <c r="G3" s="11">
        <v>0</v>
      </c>
      <c r="H3" s="11">
        <v>1220</v>
      </c>
      <c r="I3" s="11">
        <v>8</v>
      </c>
      <c r="J3" s="11">
        <v>2</v>
      </c>
      <c r="K3" s="11">
        <v>0</v>
      </c>
      <c r="L3">
        <v>0</v>
      </c>
      <c r="M3">
        <v>0</v>
      </c>
      <c r="N3">
        <v>0</v>
      </c>
      <c r="O3">
        <v>0</v>
      </c>
    </row>
    <row r="4" spans="1:15" ht="15" customHeight="1">
      <c r="A4" s="11">
        <v>3</v>
      </c>
      <c r="B4" s="11" t="s">
        <v>18</v>
      </c>
      <c r="C4" s="11" t="s">
        <v>19</v>
      </c>
      <c r="D4" s="11">
        <v>0</v>
      </c>
      <c r="E4" s="11"/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>
        <v>0</v>
      </c>
      <c r="M4">
        <v>0</v>
      </c>
      <c r="N4">
        <v>0</v>
      </c>
      <c r="O4">
        <v>0</v>
      </c>
    </row>
    <row r="5" spans="1:15" ht="15" customHeight="1">
      <c r="A5" s="11">
        <v>4</v>
      </c>
      <c r="B5" s="11" t="s">
        <v>20</v>
      </c>
      <c r="C5" s="11" t="s">
        <v>19</v>
      </c>
      <c r="D5" s="23">
        <f>38.95/750*236.6</f>
        <v>12.287426666666667</v>
      </c>
      <c r="E5" s="11"/>
      <c r="F5" s="11">
        <v>200</v>
      </c>
      <c r="G5" s="11">
        <v>0</v>
      </c>
      <c r="H5" s="11">
        <v>8</v>
      </c>
      <c r="I5" s="11">
        <v>1.4</v>
      </c>
      <c r="J5" s="11">
        <v>0</v>
      </c>
      <c r="K5" s="11">
        <v>0.2</v>
      </c>
      <c r="L5">
        <v>0</v>
      </c>
      <c r="M5">
        <v>0</v>
      </c>
      <c r="N5">
        <v>1.6E-2</v>
      </c>
      <c r="O5">
        <v>5.6000000000000001E-2</v>
      </c>
    </row>
    <row r="6" spans="1:15" ht="15" customHeight="1">
      <c r="A6" s="11">
        <v>5</v>
      </c>
      <c r="B6" s="11" t="s">
        <v>21</v>
      </c>
      <c r="C6" s="11" t="s">
        <v>19</v>
      </c>
      <c r="D6" s="24">
        <v>5</v>
      </c>
      <c r="E6" s="11"/>
      <c r="F6" s="11">
        <v>202.6</v>
      </c>
      <c r="G6" s="11">
        <v>0.7</v>
      </c>
      <c r="H6" s="11">
        <v>23.1</v>
      </c>
      <c r="I6" s="11">
        <v>1.4</v>
      </c>
      <c r="J6" s="11">
        <v>2.9</v>
      </c>
      <c r="K6" s="11">
        <v>8.6</v>
      </c>
      <c r="L6">
        <v>0</v>
      </c>
      <c r="M6">
        <v>0.70700000000000007</v>
      </c>
      <c r="N6">
        <v>0.246</v>
      </c>
      <c r="O6">
        <v>0.128</v>
      </c>
    </row>
    <row r="7" spans="1:15" ht="15" customHeight="1">
      <c r="A7" s="11">
        <v>6</v>
      </c>
      <c r="B7" s="11" t="s">
        <v>22</v>
      </c>
      <c r="C7" s="11" t="s">
        <v>23</v>
      </c>
      <c r="D7" s="23">
        <f>13/256</f>
        <v>5.078125E-2</v>
      </c>
      <c r="E7" s="11"/>
      <c r="F7" s="11">
        <v>10</v>
      </c>
      <c r="G7" s="11">
        <v>0</v>
      </c>
      <c r="H7" s="11">
        <v>575</v>
      </c>
      <c r="I7" s="11">
        <v>1</v>
      </c>
      <c r="J7" s="11">
        <v>0</v>
      </c>
      <c r="K7" s="11">
        <v>1</v>
      </c>
      <c r="L7">
        <v>0</v>
      </c>
      <c r="M7">
        <v>0</v>
      </c>
      <c r="N7">
        <v>0</v>
      </c>
      <c r="O7">
        <v>0</v>
      </c>
    </row>
    <row r="8" spans="1:15" ht="15" customHeight="1">
      <c r="A8" s="11">
        <v>7</v>
      </c>
      <c r="B8" s="11" t="s">
        <v>24</v>
      </c>
      <c r="C8" s="11" t="s">
        <v>16</v>
      </c>
      <c r="D8" s="23">
        <f>9.99</f>
        <v>9.99</v>
      </c>
      <c r="E8" s="23">
        <f>62.89/4*13/8</f>
        <v>25.549062500000002</v>
      </c>
      <c r="F8" s="11">
        <v>549.1</v>
      </c>
      <c r="G8" s="11">
        <v>12.1</v>
      </c>
      <c r="H8" s="11">
        <v>242.6</v>
      </c>
      <c r="I8" s="11">
        <v>0</v>
      </c>
      <c r="J8" s="11">
        <v>0</v>
      </c>
      <c r="K8" s="11">
        <v>102.8</v>
      </c>
      <c r="L8">
        <v>1.9000000000000003E-2</v>
      </c>
      <c r="M8">
        <v>8.8999999999999996E-2</v>
      </c>
      <c r="N8">
        <v>5.0999999999999997E-2</v>
      </c>
      <c r="O8">
        <v>0.17899999999999999</v>
      </c>
    </row>
    <row r="9" spans="1:15" ht="15" customHeight="1">
      <c r="A9" s="11">
        <v>8</v>
      </c>
      <c r="B9" s="11" t="s">
        <v>25</v>
      </c>
      <c r="C9" s="11" t="s">
        <v>26</v>
      </c>
      <c r="D9" s="23">
        <f>2/79.68</f>
        <v>2.5100401606425699E-2</v>
      </c>
      <c r="E9" s="11"/>
      <c r="F9" s="11">
        <v>0</v>
      </c>
      <c r="G9" s="11">
        <v>0</v>
      </c>
      <c r="H9" s="11">
        <v>2325.5</v>
      </c>
      <c r="I9" s="11">
        <v>0</v>
      </c>
      <c r="J9" s="11">
        <v>0</v>
      </c>
      <c r="K9" s="11">
        <v>0</v>
      </c>
      <c r="L9">
        <v>0</v>
      </c>
      <c r="M9">
        <v>0</v>
      </c>
      <c r="N9">
        <v>1E-3</v>
      </c>
      <c r="O9">
        <v>1E-3</v>
      </c>
    </row>
    <row r="10" spans="1:15" ht="15" customHeight="1">
      <c r="A10" s="11">
        <v>9</v>
      </c>
      <c r="B10" s="11" t="s">
        <v>27</v>
      </c>
      <c r="C10" s="11" t="s">
        <v>19</v>
      </c>
      <c r="D10" s="11">
        <f>6.99/105*8</f>
        <v>0.53257142857142858</v>
      </c>
      <c r="E10" s="23">
        <f>3.59*9/8</f>
        <v>4.0387500000000003</v>
      </c>
      <c r="F10" s="11">
        <v>165</v>
      </c>
      <c r="G10" s="11">
        <v>7.8</v>
      </c>
      <c r="H10" s="11">
        <v>2800</v>
      </c>
      <c r="I10" s="11">
        <v>19.5</v>
      </c>
      <c r="J10" s="11">
        <v>8</v>
      </c>
      <c r="K10" s="11">
        <v>9.9</v>
      </c>
      <c r="L10">
        <v>6.6000000000000003E-2</v>
      </c>
      <c r="M10">
        <v>0.121</v>
      </c>
      <c r="N10">
        <v>0.2</v>
      </c>
      <c r="O10">
        <v>0.25700000000000001</v>
      </c>
    </row>
    <row r="11" spans="1:15" ht="15" customHeight="1">
      <c r="A11" s="11">
        <v>10</v>
      </c>
      <c r="B11" s="11" t="s">
        <v>28</v>
      </c>
      <c r="C11" s="11" t="s">
        <v>19</v>
      </c>
      <c r="D11" s="23">
        <f>21.19/80*8</f>
        <v>2.1190000000000002</v>
      </c>
      <c r="E11" s="23">
        <f>10/22*8</f>
        <v>3.6363636363636362</v>
      </c>
      <c r="F11" s="11">
        <v>1030.5999999999999</v>
      </c>
      <c r="G11" s="11">
        <v>0</v>
      </c>
      <c r="H11" s="11">
        <v>13.6</v>
      </c>
      <c r="I11" s="11">
        <v>279.3</v>
      </c>
      <c r="J11" s="11">
        <v>0.7</v>
      </c>
      <c r="K11" s="11">
        <v>1</v>
      </c>
      <c r="L11">
        <v>0</v>
      </c>
      <c r="M11">
        <v>2.8000000000000001E-2</v>
      </c>
      <c r="N11">
        <v>0.02</v>
      </c>
      <c r="O11">
        <v>7.9000000000000001E-2</v>
      </c>
    </row>
    <row r="12" spans="1:15" ht="15" customHeight="1">
      <c r="A12" s="11">
        <v>11</v>
      </c>
      <c r="B12" s="11" t="s">
        <v>29</v>
      </c>
      <c r="C12" s="11" t="s">
        <v>19</v>
      </c>
      <c r="D12" s="23">
        <f>5/32*8</f>
        <v>1.25</v>
      </c>
      <c r="E12" s="11"/>
      <c r="F12" s="11">
        <v>961</v>
      </c>
      <c r="G12" s="11">
        <v>0.3</v>
      </c>
      <c r="H12" s="11">
        <v>396.9</v>
      </c>
      <c r="I12" s="11">
        <v>261.2</v>
      </c>
      <c r="J12" s="11">
        <v>0</v>
      </c>
      <c r="K12" s="11">
        <v>0</v>
      </c>
      <c r="L12">
        <v>0</v>
      </c>
      <c r="M12">
        <v>0</v>
      </c>
      <c r="N12">
        <v>0.01</v>
      </c>
      <c r="O12">
        <v>9.0000000000000011E-3</v>
      </c>
    </row>
    <row r="13" spans="1:15" ht="15" customHeight="1">
      <c r="A13" s="11">
        <v>12</v>
      </c>
      <c r="B13" s="11" t="s">
        <v>30</v>
      </c>
      <c r="C13" s="11" t="s">
        <v>19</v>
      </c>
      <c r="D13" s="23">
        <f>5.49/30*8</f>
        <v>1.464</v>
      </c>
      <c r="E13" s="23">
        <f>8.39/16*8</f>
        <v>4.1950000000000003</v>
      </c>
      <c r="F13" s="11">
        <v>1438.8</v>
      </c>
      <c r="G13" s="11">
        <v>159.9</v>
      </c>
      <c r="H13" s="11">
        <v>1119</v>
      </c>
      <c r="I13" s="11">
        <v>0</v>
      </c>
      <c r="J13" s="11">
        <v>0</v>
      </c>
      <c r="K13" s="11">
        <v>1.6</v>
      </c>
      <c r="L13">
        <v>9.6000000000000002E-2</v>
      </c>
      <c r="M13">
        <v>0</v>
      </c>
      <c r="N13">
        <v>3.2000000000000001E-2</v>
      </c>
      <c r="O13">
        <v>3.2000000000000001E-2</v>
      </c>
    </row>
    <row r="14" spans="1:15" ht="15" customHeight="1">
      <c r="A14" s="11">
        <v>13</v>
      </c>
      <c r="B14" s="11" t="s">
        <v>31</v>
      </c>
      <c r="C14" s="11" t="s">
        <v>23</v>
      </c>
      <c r="D14" s="23">
        <f>3.78/50/0.25*3*1.3/2.08</f>
        <v>0.56699999999999995</v>
      </c>
      <c r="E14" s="23">
        <f>4/50/0.25*3</f>
        <v>0.96</v>
      </c>
      <c r="F14" s="11">
        <v>7.6</v>
      </c>
      <c r="G14" s="11">
        <v>0</v>
      </c>
      <c r="H14" s="11">
        <v>0.6</v>
      </c>
      <c r="I14" s="11">
        <v>1.7</v>
      </c>
      <c r="J14" s="11">
        <v>0.4</v>
      </c>
      <c r="K14" s="11">
        <v>0.2</v>
      </c>
      <c r="L14">
        <v>0</v>
      </c>
      <c r="M14">
        <v>2.1000000000000001E-2</v>
      </c>
      <c r="N14">
        <v>4.0000000000000001E-3</v>
      </c>
      <c r="O14">
        <v>2E-3</v>
      </c>
    </row>
    <row r="15" spans="1:15" ht="15" customHeight="1">
      <c r="A15" s="11">
        <v>14</v>
      </c>
      <c r="B15" s="11" t="s">
        <v>32</v>
      </c>
      <c r="C15" s="11" t="s">
        <v>23</v>
      </c>
      <c r="D15" s="23">
        <f>3.18/48/2</f>
        <v>3.3125000000000002E-2</v>
      </c>
      <c r="E15" s="11"/>
      <c r="F15" s="11">
        <v>123.8</v>
      </c>
      <c r="G15" s="11">
        <v>14</v>
      </c>
      <c r="H15" s="11">
        <v>0</v>
      </c>
      <c r="I15" s="11">
        <v>0</v>
      </c>
      <c r="J15" s="11">
        <v>0</v>
      </c>
      <c r="K15" s="11">
        <v>0</v>
      </c>
      <c r="L15">
        <v>0</v>
      </c>
      <c r="M15">
        <v>0</v>
      </c>
      <c r="N15">
        <v>0</v>
      </c>
      <c r="O15">
        <v>0</v>
      </c>
    </row>
    <row r="16" spans="1:15" ht="15" customHeight="1">
      <c r="A16" s="11">
        <v>15</v>
      </c>
      <c r="B16" s="25" t="s">
        <v>33</v>
      </c>
      <c r="C16" s="25" t="s">
        <v>19</v>
      </c>
      <c r="D16" s="25">
        <v>2.4900000000000002</v>
      </c>
      <c r="E16" s="25">
        <v>4.47</v>
      </c>
      <c r="F16" s="11">
        <v>15.4</v>
      </c>
      <c r="G16" s="11">
        <v>0.2</v>
      </c>
      <c r="H16" s="11">
        <v>2.8</v>
      </c>
      <c r="I16" s="11">
        <v>2.2999999999999998</v>
      </c>
      <c r="J16" s="11">
        <v>0.8</v>
      </c>
      <c r="K16" s="11">
        <v>2.2000000000000002</v>
      </c>
      <c r="L16">
        <v>0</v>
      </c>
      <c r="M16">
        <v>2.8000000000000001E-2</v>
      </c>
      <c r="N16">
        <v>2E-3</v>
      </c>
      <c r="O16">
        <v>0.02</v>
      </c>
    </row>
    <row r="17" spans="1:15" ht="15" customHeight="1">
      <c r="A17" s="11">
        <v>16</v>
      </c>
      <c r="B17" s="25" t="s">
        <v>34</v>
      </c>
      <c r="C17" s="25" t="s">
        <v>19</v>
      </c>
      <c r="D17" s="25">
        <f>(8.45/16)*8</f>
        <v>4.2249999999999996</v>
      </c>
      <c r="E17" s="25"/>
      <c r="F17" s="11">
        <v>1760</v>
      </c>
      <c r="G17" s="11">
        <v>144</v>
      </c>
      <c r="H17" s="11">
        <v>2880</v>
      </c>
      <c r="I17" s="11">
        <v>16</v>
      </c>
      <c r="J17" s="11">
        <v>0</v>
      </c>
      <c r="K17" s="11">
        <v>112</v>
      </c>
      <c r="L17">
        <v>0.96</v>
      </c>
      <c r="M17">
        <v>0</v>
      </c>
      <c r="N17">
        <v>3.2</v>
      </c>
      <c r="O17">
        <v>0</v>
      </c>
    </row>
    <row r="18" spans="1:15" ht="15" customHeight="1">
      <c r="A18" s="11">
        <v>17</v>
      </c>
      <c r="B18" s="25" t="s">
        <v>35</v>
      </c>
      <c r="C18" s="25" t="s">
        <v>36</v>
      </c>
      <c r="D18" s="25">
        <v>1.5</v>
      </c>
      <c r="E18" s="25"/>
      <c r="F18" s="11">
        <v>259.3</v>
      </c>
      <c r="G18" s="11">
        <v>18</v>
      </c>
      <c r="H18" s="11">
        <v>1967.3</v>
      </c>
      <c r="I18" s="11">
        <v>20.5</v>
      </c>
      <c r="J18" s="11">
        <v>0</v>
      </c>
      <c r="K18" s="11">
        <v>4.9000000000000004</v>
      </c>
      <c r="L18">
        <v>1.7999999999999999E-2</v>
      </c>
      <c r="M18">
        <v>0</v>
      </c>
      <c r="N18">
        <v>3.6999999999999998E-2</v>
      </c>
      <c r="O18">
        <v>0.188</v>
      </c>
    </row>
    <row r="19" spans="1:15" ht="15" customHeight="1">
      <c r="A19" s="11">
        <v>18</v>
      </c>
      <c r="B19" s="25" t="s">
        <v>37</v>
      </c>
      <c r="C19" s="25" t="s">
        <v>16</v>
      </c>
      <c r="D19" s="25">
        <v>5.48</v>
      </c>
      <c r="E19" s="25"/>
      <c r="F19" s="11">
        <v>1344</v>
      </c>
      <c r="G19" s="11">
        <v>88</v>
      </c>
      <c r="H19" s="11">
        <v>304</v>
      </c>
      <c r="I19" s="11">
        <v>0</v>
      </c>
      <c r="J19" s="11">
        <v>0</v>
      </c>
      <c r="K19" s="11">
        <v>128</v>
      </c>
      <c r="L19">
        <v>0</v>
      </c>
      <c r="M19">
        <v>0</v>
      </c>
      <c r="N19">
        <v>0.72</v>
      </c>
      <c r="O19">
        <v>0.624</v>
      </c>
    </row>
    <row r="20" spans="1:15" ht="15" customHeight="1">
      <c r="A20" s="11">
        <v>19</v>
      </c>
      <c r="B20" s="25" t="s">
        <v>38</v>
      </c>
      <c r="C20" s="25" t="s">
        <v>23</v>
      </c>
      <c r="D20" s="25">
        <f>0.2488*2</f>
        <v>0.49759999999999999</v>
      </c>
      <c r="E20" s="25">
        <f>0.2863*2</f>
        <v>0.5726</v>
      </c>
      <c r="F20" s="11">
        <v>119.3</v>
      </c>
      <c r="G20" s="11">
        <v>13.5</v>
      </c>
      <c r="H20" s="11">
        <v>0</v>
      </c>
      <c r="I20" s="11">
        <v>0</v>
      </c>
      <c r="J20" s="11">
        <v>0</v>
      </c>
      <c r="K20" s="11">
        <v>0</v>
      </c>
      <c r="L20">
        <v>0</v>
      </c>
      <c r="M20">
        <v>0</v>
      </c>
      <c r="N20">
        <v>0</v>
      </c>
      <c r="O20">
        <v>3.0000000000000001E-3</v>
      </c>
    </row>
    <row r="21" spans="1:15" ht="15" customHeight="1">
      <c r="A21" s="11">
        <v>20</v>
      </c>
      <c r="B21" s="26" t="s">
        <v>39</v>
      </c>
      <c r="C21" s="25" t="s">
        <v>40</v>
      </c>
      <c r="D21" s="25">
        <v>3</v>
      </c>
      <c r="E21" s="43">
        <f>13.99/2</f>
        <v>6.9950000000000001</v>
      </c>
      <c r="F21" s="11">
        <v>438.4</v>
      </c>
      <c r="G21" s="11">
        <v>19.600000000000001</v>
      </c>
      <c r="H21" s="11">
        <v>134.1</v>
      </c>
      <c r="I21" s="11">
        <v>0</v>
      </c>
      <c r="J21" s="11">
        <v>0</v>
      </c>
      <c r="K21" s="11">
        <v>61.2</v>
      </c>
      <c r="L21">
        <v>2.5000000000000001E-2</v>
      </c>
      <c r="M21">
        <v>0</v>
      </c>
      <c r="N21">
        <v>4.7E-2</v>
      </c>
      <c r="O21">
        <v>0.17800000000000002</v>
      </c>
    </row>
    <row r="22" spans="1:15" ht="15" customHeight="1">
      <c r="A22" s="11">
        <v>21</v>
      </c>
      <c r="B22" s="27" t="s">
        <v>41</v>
      </c>
      <c r="C22" s="28" t="s">
        <v>42</v>
      </c>
      <c r="D22" s="25">
        <v>1.19</v>
      </c>
      <c r="E22" s="25">
        <f>(3.98/5)*2</f>
        <v>1.5920000000000001</v>
      </c>
      <c r="F22" s="11">
        <v>145.1</v>
      </c>
      <c r="G22" s="11">
        <v>0.2</v>
      </c>
      <c r="H22" s="11">
        <v>7.8</v>
      </c>
      <c r="I22" s="11">
        <v>33.6</v>
      </c>
      <c r="J22" s="11">
        <v>2.2999999999999998</v>
      </c>
      <c r="K22" s="11">
        <v>3.1</v>
      </c>
      <c r="L22">
        <v>0</v>
      </c>
      <c r="M22">
        <v>0.33300000000000002</v>
      </c>
      <c r="N22">
        <v>8.0000000000000002E-3</v>
      </c>
      <c r="O22">
        <v>3.0000000000000002E-2</v>
      </c>
    </row>
    <row r="23" spans="1:15" ht="15" customHeight="1">
      <c r="A23" s="11">
        <v>22</v>
      </c>
      <c r="B23" s="29" t="s">
        <v>43</v>
      </c>
      <c r="C23" s="28" t="s">
        <v>42</v>
      </c>
      <c r="D23" s="25">
        <v>1.47</v>
      </c>
      <c r="E23" s="25"/>
      <c r="F23" s="11">
        <v>41.8</v>
      </c>
      <c r="G23" s="11">
        <v>0.2</v>
      </c>
      <c r="H23" s="11">
        <v>3.3</v>
      </c>
      <c r="I23" s="11">
        <v>9.5</v>
      </c>
      <c r="J23" s="11">
        <v>2</v>
      </c>
      <c r="K23" s="11">
        <v>1.3</v>
      </c>
      <c r="L23">
        <v>0</v>
      </c>
      <c r="M23">
        <v>0.11699999999999999</v>
      </c>
      <c r="N23">
        <v>2.1999999999999999E-2</v>
      </c>
      <c r="O23">
        <v>1.3000000000000001E-2</v>
      </c>
    </row>
    <row r="24" spans="1:15" ht="15" customHeight="1">
      <c r="A24" s="11">
        <v>23</v>
      </c>
      <c r="B24" s="27" t="s">
        <v>44</v>
      </c>
      <c r="C24" s="28" t="s">
        <v>19</v>
      </c>
      <c r="D24" s="25">
        <f>0.185*8</f>
        <v>1.48</v>
      </c>
      <c r="E24" s="25">
        <f>0.2488*8</f>
        <v>1.9903999999999999</v>
      </c>
      <c r="F24" s="11">
        <v>1630.6</v>
      </c>
      <c r="G24" s="11">
        <v>183.8</v>
      </c>
      <c r="H24" s="11">
        <v>1307.5999999999999</v>
      </c>
      <c r="I24" s="11">
        <v>0</v>
      </c>
      <c r="J24" s="11">
        <v>0</v>
      </c>
      <c r="K24" s="11">
        <v>1.6</v>
      </c>
      <c r="L24">
        <v>1.135</v>
      </c>
      <c r="M24">
        <v>0</v>
      </c>
      <c r="N24">
        <v>4.8000000000000001E-2</v>
      </c>
      <c r="O24">
        <v>0</v>
      </c>
    </row>
    <row r="25" spans="1:15" ht="15" customHeight="1">
      <c r="A25" s="11">
        <v>24</v>
      </c>
      <c r="B25" s="27" t="s">
        <v>45</v>
      </c>
      <c r="C25" s="28" t="s">
        <v>19</v>
      </c>
      <c r="D25" s="25">
        <f>0.0234*8</f>
        <v>0.18720000000000001</v>
      </c>
      <c r="E25" s="25">
        <f>0.0389*8</f>
        <v>0.31119999999999998</v>
      </c>
      <c r="F25" s="11">
        <v>137</v>
      </c>
      <c r="G25" s="11">
        <v>4.9000000000000004</v>
      </c>
      <c r="H25" s="11">
        <v>145</v>
      </c>
      <c r="I25" s="11">
        <v>13.4</v>
      </c>
      <c r="J25" s="11">
        <v>0</v>
      </c>
      <c r="K25" s="11">
        <v>9.6999999999999993</v>
      </c>
      <c r="L25">
        <v>9.1999999999999998E-2</v>
      </c>
      <c r="M25">
        <v>8.0000000000000002E-3</v>
      </c>
      <c r="N25">
        <v>0.28499999999999998</v>
      </c>
      <c r="O25">
        <v>0.4</v>
      </c>
    </row>
    <row r="26" spans="1:15" ht="15" customHeight="1">
      <c r="A26" s="11">
        <v>25</v>
      </c>
      <c r="B26" s="29" t="s">
        <v>46</v>
      </c>
      <c r="C26" s="28" t="s">
        <v>19</v>
      </c>
      <c r="D26" s="25">
        <f>(5.95/16)*8</f>
        <v>2.9750000000000001</v>
      </c>
      <c r="E26" s="25"/>
      <c r="F26" s="11">
        <v>454.4</v>
      </c>
      <c r="G26" s="11">
        <v>37.5</v>
      </c>
      <c r="H26" s="11">
        <v>701.5</v>
      </c>
      <c r="I26" s="11">
        <v>1.6</v>
      </c>
      <c r="J26" s="11">
        <v>0</v>
      </c>
      <c r="K26" s="11">
        <v>28.3</v>
      </c>
      <c r="L26">
        <v>0.23899999999999999</v>
      </c>
      <c r="M26">
        <v>0</v>
      </c>
      <c r="N26">
        <v>0.81299999999999994</v>
      </c>
      <c r="O26">
        <v>4.4000000000000004E-2</v>
      </c>
    </row>
    <row r="27" spans="1:15" ht="15" customHeight="1">
      <c r="A27" s="11">
        <v>26</v>
      </c>
      <c r="B27" s="29" t="s">
        <v>47</v>
      </c>
      <c r="C27" s="28" t="s">
        <v>19</v>
      </c>
      <c r="D27" s="25">
        <v>1.48</v>
      </c>
      <c r="E27" s="25">
        <v>1.99</v>
      </c>
      <c r="F27" s="11">
        <v>793.8</v>
      </c>
      <c r="G27" s="11">
        <v>80.2</v>
      </c>
      <c r="H27" s="11">
        <v>686.6</v>
      </c>
      <c r="I27" s="11">
        <v>9.4</v>
      </c>
      <c r="J27" s="11">
        <v>0</v>
      </c>
      <c r="K27" s="11">
        <v>17.2</v>
      </c>
      <c r="L27">
        <v>0.66300000000000003</v>
      </c>
      <c r="M27">
        <v>0</v>
      </c>
      <c r="N27">
        <v>0.188</v>
      </c>
      <c r="O27">
        <v>0.155</v>
      </c>
    </row>
    <row r="28" spans="1:15" ht="15" customHeight="1">
      <c r="A28" s="11">
        <v>27</v>
      </c>
      <c r="B28" s="27" t="s">
        <v>48</v>
      </c>
      <c r="C28" s="28" t="s">
        <v>19</v>
      </c>
      <c r="D28" s="25">
        <f>0.0419*8</f>
        <v>0.3352</v>
      </c>
      <c r="E28" s="25">
        <f>0.1091*8</f>
        <v>0.87280000000000002</v>
      </c>
      <c r="F28" s="11">
        <v>761.9</v>
      </c>
      <c r="G28" s="11">
        <v>0</v>
      </c>
      <c r="H28" s="11">
        <v>0</v>
      </c>
      <c r="I28" s="11">
        <v>200</v>
      </c>
      <c r="J28" s="11">
        <v>0</v>
      </c>
      <c r="K28" s="11">
        <v>0</v>
      </c>
      <c r="L28">
        <v>0</v>
      </c>
      <c r="M28">
        <v>0</v>
      </c>
      <c r="N28">
        <v>0</v>
      </c>
      <c r="O28">
        <v>0</v>
      </c>
    </row>
    <row r="29" spans="1:15" ht="15" customHeight="1">
      <c r="A29" s="11">
        <v>28</v>
      </c>
      <c r="B29" s="29" t="s">
        <v>49</v>
      </c>
      <c r="C29" s="28" t="s">
        <v>42</v>
      </c>
      <c r="D29" s="25">
        <v>0.13</v>
      </c>
      <c r="E29" s="25">
        <v>0.53</v>
      </c>
      <c r="F29" s="11">
        <v>72</v>
      </c>
      <c r="G29" s="11">
        <v>4.8</v>
      </c>
      <c r="H29" s="11">
        <v>71</v>
      </c>
      <c r="I29" s="11">
        <v>0.4</v>
      </c>
      <c r="J29" s="11">
        <v>0</v>
      </c>
      <c r="K29" s="11">
        <v>6.3</v>
      </c>
      <c r="L29">
        <v>0.06</v>
      </c>
      <c r="M29">
        <v>0</v>
      </c>
      <c r="N29">
        <v>0.02</v>
      </c>
      <c r="O29">
        <v>0.04</v>
      </c>
    </row>
    <row r="30" spans="1:15" ht="15" customHeight="1">
      <c r="A30" s="11">
        <v>29</v>
      </c>
      <c r="B30" s="30" t="s">
        <v>50</v>
      </c>
      <c r="C30" s="28" t="s">
        <v>19</v>
      </c>
      <c r="D30" s="25">
        <v>0.98</v>
      </c>
      <c r="E30" s="25"/>
      <c r="F30" s="11">
        <v>83</v>
      </c>
      <c r="G30" s="11">
        <v>0.7</v>
      </c>
      <c r="H30" s="11">
        <v>12.3</v>
      </c>
      <c r="I30" s="11">
        <v>19.8</v>
      </c>
      <c r="J30" s="11">
        <v>7.1</v>
      </c>
      <c r="K30" s="11">
        <v>2.7</v>
      </c>
      <c r="L30">
        <v>7.266</v>
      </c>
      <c r="M30">
        <v>0.17200000000000001</v>
      </c>
      <c r="N30">
        <v>6.4000000000000001E-2</v>
      </c>
      <c r="O30">
        <v>0.189</v>
      </c>
    </row>
    <row r="31" spans="1:15" ht="15" customHeight="1">
      <c r="A31" s="11">
        <v>30</v>
      </c>
      <c r="B31" s="31" t="str">
        <f>HYPERLINK("http://www.walmart.com/ip/Del-Monte-French-Style-Blue-Lake-Seasoned-Green-Beans-14.5-oz/10295203","green beans(can)")</f>
        <v>green beans(can)</v>
      </c>
      <c r="C31" s="25" t="s">
        <v>51</v>
      </c>
      <c r="D31" s="25">
        <v>0.98</v>
      </c>
      <c r="E31" s="25"/>
      <c r="F31" s="11">
        <f>20*3.5</f>
        <v>70</v>
      </c>
      <c r="G31" s="11">
        <v>0</v>
      </c>
      <c r="H31" s="11">
        <f>360*3</f>
        <v>1080</v>
      </c>
      <c r="I31" s="11">
        <v>12</v>
      </c>
      <c r="J31" s="11">
        <v>6</v>
      </c>
      <c r="K31" s="11">
        <v>3</v>
      </c>
      <c r="L31">
        <v>0.18</v>
      </c>
      <c r="M31">
        <v>0.12000000000000001</v>
      </c>
      <c r="N31">
        <v>0.06</v>
      </c>
      <c r="O31">
        <v>0</v>
      </c>
    </row>
    <row r="32" spans="1:15" ht="15" customHeight="1">
      <c r="A32" s="11">
        <v>31</v>
      </c>
      <c r="B32" s="26" t="s">
        <v>52</v>
      </c>
      <c r="C32" s="25" t="s">
        <v>19</v>
      </c>
      <c r="D32" s="25">
        <f>0.58*8</f>
        <v>4.6399999999999997</v>
      </c>
      <c r="E32" s="25"/>
      <c r="F32" s="11">
        <v>4560</v>
      </c>
      <c r="G32" s="11">
        <v>30</v>
      </c>
      <c r="H32" s="11">
        <v>1862</v>
      </c>
      <c r="I32" s="11">
        <v>3.7</v>
      </c>
      <c r="J32" s="11">
        <v>0</v>
      </c>
      <c r="K32" s="11">
        <v>41.6</v>
      </c>
      <c r="L32">
        <v>0.14000000000000001</v>
      </c>
      <c r="M32">
        <v>0</v>
      </c>
      <c r="N32">
        <v>1.3759999999999999</v>
      </c>
      <c r="O32">
        <v>5.2999999999999999E-2</v>
      </c>
    </row>
    <row r="33" spans="1:15" ht="15" customHeight="1">
      <c r="A33" s="11">
        <v>32</v>
      </c>
      <c r="B33" s="29" t="s">
        <v>53</v>
      </c>
      <c r="C33" s="28" t="s">
        <v>19</v>
      </c>
      <c r="D33" s="25">
        <f>0.0477*8</f>
        <v>0.38159999999999999</v>
      </c>
      <c r="E33" s="25">
        <f>0.0934*8</f>
        <v>0.74719999999999998</v>
      </c>
      <c r="F33" s="11">
        <v>140</v>
      </c>
      <c r="G33" s="11">
        <v>0.2</v>
      </c>
      <c r="H33" s="11">
        <v>2.5</v>
      </c>
      <c r="I33" s="11">
        <v>34.5</v>
      </c>
      <c r="J33" s="11">
        <v>0.5</v>
      </c>
      <c r="K33" s="11">
        <v>0.8</v>
      </c>
      <c r="L33">
        <v>0.3</v>
      </c>
      <c r="M33">
        <v>0.44600000000000001</v>
      </c>
      <c r="N33">
        <v>4.2999999999999997E-2</v>
      </c>
      <c r="O33">
        <v>3.6000000000000004E-2</v>
      </c>
    </row>
    <row r="34" spans="1:15" ht="15" customHeight="1">
      <c r="A34" s="11">
        <v>33</v>
      </c>
      <c r="B34" s="27" t="s">
        <v>54</v>
      </c>
      <c r="C34" s="28" t="s">
        <v>19</v>
      </c>
      <c r="D34" s="25">
        <f>0.0435*8</f>
        <v>0.34799999999999998</v>
      </c>
      <c r="E34" s="25">
        <f>0.0831*8</f>
        <v>0.66479999999999995</v>
      </c>
      <c r="F34" s="11">
        <v>450</v>
      </c>
      <c r="G34" s="11">
        <v>1.2</v>
      </c>
      <c r="H34" s="11">
        <v>2.5</v>
      </c>
      <c r="I34" s="11">
        <v>95.4</v>
      </c>
      <c r="J34" s="11">
        <v>3.4</v>
      </c>
      <c r="K34" s="11">
        <v>12.9</v>
      </c>
      <c r="L34">
        <v>0</v>
      </c>
      <c r="M34">
        <v>0</v>
      </c>
      <c r="N34">
        <v>1.9E-2</v>
      </c>
      <c r="O34">
        <v>0.32200000000000001</v>
      </c>
    </row>
    <row r="35" spans="1:15" ht="15" customHeight="1">
      <c r="A35" s="11">
        <v>34</v>
      </c>
      <c r="B35" s="29" t="s">
        <v>55</v>
      </c>
      <c r="C35" s="28" t="s">
        <v>26</v>
      </c>
      <c r="D35" s="25">
        <f>0.0192*6</f>
        <v>0.1152</v>
      </c>
      <c r="E35" s="25"/>
      <c r="F35" s="11">
        <v>2.4</v>
      </c>
      <c r="G35" s="11">
        <v>0</v>
      </c>
      <c r="H35" s="11">
        <v>487.6</v>
      </c>
      <c r="I35" s="11">
        <v>1.3</v>
      </c>
      <c r="J35" s="11">
        <v>0</v>
      </c>
      <c r="K35" s="11">
        <v>0</v>
      </c>
      <c r="L35">
        <v>0</v>
      </c>
      <c r="M35">
        <v>0</v>
      </c>
      <c r="N35">
        <v>0.27</v>
      </c>
      <c r="O35">
        <v>2.8000000000000001E-2</v>
      </c>
    </row>
    <row r="36" spans="1:15" ht="15" customHeight="1">
      <c r="A36" s="11">
        <v>35</v>
      </c>
      <c r="B36" s="27" t="s">
        <v>56</v>
      </c>
      <c r="C36" s="28" t="s">
        <v>42</v>
      </c>
      <c r="D36" s="25">
        <v>2.68</v>
      </c>
      <c r="E36" s="25"/>
      <c r="F36" s="11">
        <v>494.2</v>
      </c>
      <c r="G36" s="11">
        <v>4.5999999999999996</v>
      </c>
      <c r="H36" s="11">
        <v>10.4</v>
      </c>
      <c r="I36" s="11">
        <v>124.9</v>
      </c>
      <c r="J36" s="11">
        <v>12.4</v>
      </c>
      <c r="K36" s="11">
        <v>3.9</v>
      </c>
      <c r="L36">
        <v>4.5999999999999999E-2</v>
      </c>
      <c r="M36">
        <v>2.5880000000000001</v>
      </c>
      <c r="N36">
        <v>7.1999999999999995E-2</v>
      </c>
      <c r="O36">
        <v>0.21</v>
      </c>
    </row>
    <row r="37" spans="1:15" ht="15" customHeight="1">
      <c r="A37" s="11">
        <v>36</v>
      </c>
      <c r="B37" s="29" t="s">
        <v>57</v>
      </c>
      <c r="C37" s="28" t="s">
        <v>23</v>
      </c>
      <c r="D37" s="25">
        <f>0.1347/2</f>
        <v>6.7349999999999993E-2</v>
      </c>
      <c r="E37" s="25">
        <f>0.3224/2</f>
        <v>0.16120000000000001</v>
      </c>
      <c r="F37" s="11">
        <v>10</v>
      </c>
      <c r="G37" s="11">
        <v>0</v>
      </c>
      <c r="H37" s="11">
        <v>5</v>
      </c>
      <c r="I37" s="11">
        <v>2</v>
      </c>
      <c r="J37" s="11">
        <v>0</v>
      </c>
      <c r="K37" s="11">
        <v>0</v>
      </c>
      <c r="L37">
        <v>0</v>
      </c>
      <c r="M37">
        <v>0</v>
      </c>
      <c r="N37">
        <v>0</v>
      </c>
      <c r="O37">
        <v>0</v>
      </c>
    </row>
    <row r="38" spans="1:15" ht="15" customHeight="1">
      <c r="A38" s="11">
        <v>37</v>
      </c>
      <c r="B38" s="27" t="s">
        <v>58</v>
      </c>
      <c r="C38" s="28" t="s">
        <v>26</v>
      </c>
      <c r="D38" s="25">
        <f>0.18*0.16</f>
        <v>2.8799999999999999E-2</v>
      </c>
      <c r="E38" s="25"/>
      <c r="F38" s="11">
        <v>1.6</v>
      </c>
      <c r="G38" s="11">
        <v>0</v>
      </c>
      <c r="H38" s="11">
        <v>0.3</v>
      </c>
      <c r="I38" s="11">
        <v>0.4</v>
      </c>
      <c r="J38" s="11">
        <v>0</v>
      </c>
      <c r="K38" s="11">
        <v>0</v>
      </c>
      <c r="L38">
        <v>0</v>
      </c>
      <c r="M38">
        <v>2E-3</v>
      </c>
      <c r="N38">
        <v>0</v>
      </c>
      <c r="O38">
        <v>1E-3</v>
      </c>
    </row>
    <row r="39" spans="1:15" ht="15" customHeight="1">
      <c r="A39" s="11">
        <v>38</v>
      </c>
      <c r="B39" s="32" t="s">
        <v>59</v>
      </c>
      <c r="C39" s="25" t="s">
        <v>42</v>
      </c>
      <c r="D39" s="25">
        <v>0.81</v>
      </c>
      <c r="E39" s="25"/>
      <c r="F39" s="11">
        <v>136.5</v>
      </c>
      <c r="G39" s="11">
        <v>0.4</v>
      </c>
      <c r="H39" s="11">
        <v>16.899999999999999</v>
      </c>
      <c r="I39" s="11">
        <v>31.6</v>
      </c>
      <c r="J39" s="11">
        <v>3.9</v>
      </c>
      <c r="K39" s="11">
        <v>2.1</v>
      </c>
      <c r="L39">
        <v>5.2159999999999993</v>
      </c>
      <c r="M39">
        <v>0.49199999999999999</v>
      </c>
      <c r="N39">
        <v>2.9000000000000001E-2</v>
      </c>
      <c r="O39">
        <v>4.3000000000000003E-2</v>
      </c>
    </row>
    <row r="40" spans="1:15" ht="15" customHeight="1">
      <c r="A40" s="11">
        <v>39</v>
      </c>
      <c r="B40" s="25" t="s">
        <v>60</v>
      </c>
      <c r="C40" s="25" t="s">
        <v>23</v>
      </c>
      <c r="D40" s="25">
        <f>0.1238*0.5</f>
        <v>6.1899999999999997E-2</v>
      </c>
      <c r="E40" s="25"/>
      <c r="F40" s="11">
        <v>19.5</v>
      </c>
      <c r="G40" s="11">
        <v>1.7</v>
      </c>
      <c r="H40" s="11">
        <v>6.2</v>
      </c>
      <c r="I40" s="11">
        <v>0.6</v>
      </c>
      <c r="J40" s="11">
        <v>0</v>
      </c>
      <c r="K40" s="11">
        <v>0.4</v>
      </c>
      <c r="L40">
        <v>1.1000000000000001E-2</v>
      </c>
      <c r="M40">
        <v>2E-3</v>
      </c>
      <c r="N40">
        <v>1.6E-2</v>
      </c>
      <c r="O40">
        <v>1E-3</v>
      </c>
    </row>
    <row r="41" spans="1:15" ht="15" customHeight="1">
      <c r="A41" s="11">
        <v>40</v>
      </c>
      <c r="B41" s="25" t="s">
        <v>61</v>
      </c>
      <c r="C41" s="25" t="s">
        <v>19</v>
      </c>
      <c r="D41" s="25">
        <f>0.6243*8</f>
        <v>4.9943999999999997</v>
      </c>
      <c r="E41" s="25"/>
      <c r="F41" s="11">
        <v>22.3</v>
      </c>
      <c r="G41" s="11">
        <v>85.6</v>
      </c>
      <c r="H41" s="11">
        <v>0</v>
      </c>
      <c r="I41" s="11">
        <v>16.5</v>
      </c>
      <c r="J41" s="11">
        <v>11.4</v>
      </c>
      <c r="K41" s="11">
        <v>10.9</v>
      </c>
      <c r="L41">
        <v>1.2999999999999999E-2</v>
      </c>
      <c r="M41">
        <v>2.2000000000000002E-2</v>
      </c>
      <c r="N41">
        <v>8.3000000000000004E-2</v>
      </c>
      <c r="O41">
        <v>0.16699999999999998</v>
      </c>
    </row>
    <row r="42" spans="1:15" ht="15" customHeight="1">
      <c r="A42" s="11">
        <v>41</v>
      </c>
      <c r="B42" s="33" t="str">
        <f>HYPERLINK("http://www.myfitnesspal.com/food/calories/bybee-foods-green-beans-organic-whole-40794575","green beans(whole)")</f>
        <v>green beans(whole)</v>
      </c>
      <c r="C42" s="25" t="s">
        <v>16</v>
      </c>
      <c r="D42" s="25">
        <f>1.58</f>
        <v>1.58</v>
      </c>
      <c r="E42" s="25">
        <f>0.3317*16</f>
        <v>5.3071999999999999</v>
      </c>
      <c r="F42" s="11">
        <v>124.4</v>
      </c>
      <c r="G42" s="11">
        <v>0</v>
      </c>
      <c r="H42" s="11">
        <v>12.4</v>
      </c>
      <c r="I42" s="11">
        <v>24.9</v>
      </c>
      <c r="J42" s="11">
        <v>12.4</v>
      </c>
      <c r="K42" s="11">
        <v>4.2</v>
      </c>
      <c r="L42">
        <v>0.41499999999999998</v>
      </c>
      <c r="M42">
        <v>0.249</v>
      </c>
      <c r="N42">
        <v>0.16600000000000001</v>
      </c>
      <c r="O42">
        <v>0.16600000000000001</v>
      </c>
    </row>
    <row r="43" spans="1:15" ht="15" customHeight="1">
      <c r="A43" s="11">
        <v>42</v>
      </c>
      <c r="B43" s="34" t="str">
        <f>HYPERLINK("http://www.myfitnesspal.com/food/calories/mccormick-garlic-salt-64612701","garlic salt")</f>
        <v>garlic salt</v>
      </c>
      <c r="C43" s="28" t="s">
        <v>26</v>
      </c>
      <c r="D43" s="25">
        <f>0.2618*0.166</f>
        <v>4.3458799999999999E-2</v>
      </c>
      <c r="E43" s="25"/>
      <c r="F43" s="11">
        <v>0</v>
      </c>
      <c r="G43" s="11">
        <v>0</v>
      </c>
      <c r="H43" s="11">
        <v>1960</v>
      </c>
      <c r="I43" s="11">
        <v>0</v>
      </c>
      <c r="J43" s="11">
        <v>0</v>
      </c>
      <c r="K43" s="11">
        <v>0</v>
      </c>
      <c r="L43">
        <v>0</v>
      </c>
      <c r="M43">
        <v>0</v>
      </c>
      <c r="N43">
        <v>0</v>
      </c>
      <c r="O43">
        <v>0</v>
      </c>
    </row>
    <row r="44" spans="1:15" ht="15" customHeight="1">
      <c r="A44" s="11">
        <v>43</v>
      </c>
      <c r="B44" s="27" t="s">
        <v>62</v>
      </c>
      <c r="C44" s="28" t="s">
        <v>19</v>
      </c>
      <c r="D44" s="25">
        <f>0.28*8</f>
        <v>2.2400000000000002</v>
      </c>
      <c r="E44" s="25">
        <f>(2.98/10)*8</f>
        <v>2.3839999999999999</v>
      </c>
      <c r="F44" s="11">
        <v>48</v>
      </c>
      <c r="G44" s="11">
        <v>0</v>
      </c>
      <c r="H44" s="11">
        <v>0</v>
      </c>
      <c r="I44" s="11">
        <v>10.7</v>
      </c>
      <c r="J44" s="11">
        <v>3.2</v>
      </c>
      <c r="K44" s="11">
        <v>2.4</v>
      </c>
      <c r="L44">
        <v>0.48</v>
      </c>
      <c r="M44">
        <v>0.64</v>
      </c>
      <c r="N44">
        <v>0</v>
      </c>
      <c r="O44">
        <v>0</v>
      </c>
    </row>
    <row r="45" spans="1:15" ht="15" customHeight="1">
      <c r="A45" s="11">
        <v>44</v>
      </c>
      <c r="B45" s="35" t="str">
        <f>HYPERLINK("http://nutritiondata.self.com/facts/legumes-and-legume-products/4393/2","tofu")</f>
        <v>tofu</v>
      </c>
      <c r="C45" s="28" t="s">
        <v>17</v>
      </c>
      <c r="D45" s="25">
        <v>0.1113</v>
      </c>
      <c r="E45" s="25">
        <f>0.2067</f>
        <v>0.20669999999999999</v>
      </c>
      <c r="F45" s="11">
        <v>20</v>
      </c>
      <c r="G45" s="11">
        <v>1</v>
      </c>
      <c r="H45" s="11">
        <v>3</v>
      </c>
      <c r="I45" s="11">
        <v>0</v>
      </c>
      <c r="J45" s="11">
        <v>0</v>
      </c>
      <c r="K45" s="11">
        <v>2</v>
      </c>
      <c r="L45">
        <v>0</v>
      </c>
      <c r="M45">
        <v>0</v>
      </c>
      <c r="N45">
        <v>0.06</v>
      </c>
      <c r="O45">
        <v>3.0000000000000002E-2</v>
      </c>
    </row>
    <row r="46" spans="1:15" ht="15" customHeight="1">
      <c r="A46" s="11">
        <v>45</v>
      </c>
      <c r="B46" s="36" t="str">
        <f>HYPERLINK("http://nutritiondata.self.com/facts/vegetables-and-vegetable-products/2639/2","zucchini")</f>
        <v>zucchini</v>
      </c>
      <c r="C46" s="28" t="s">
        <v>42</v>
      </c>
      <c r="D46" s="25">
        <v>1.02</v>
      </c>
      <c r="E46" s="25">
        <v>2.4700000000000002</v>
      </c>
      <c r="F46" s="11">
        <v>52</v>
      </c>
      <c r="G46" s="11">
        <v>1</v>
      </c>
      <c r="H46" s="11">
        <v>32</v>
      </c>
      <c r="I46" s="11">
        <v>11</v>
      </c>
      <c r="J46" s="11">
        <v>4</v>
      </c>
      <c r="K46" s="11">
        <v>4</v>
      </c>
      <c r="L46">
        <v>0.13</v>
      </c>
      <c r="M46">
        <v>0.92</v>
      </c>
      <c r="N46">
        <v>0.05</v>
      </c>
      <c r="O46">
        <v>6.0000000000000005E-2</v>
      </c>
    </row>
    <row r="47" spans="1:15" ht="15" customHeight="1">
      <c r="A47" s="11">
        <v>46</v>
      </c>
      <c r="B47" s="34" t="str">
        <f>HYPERLINK("http://nutritiondata.self.com/facts/vegetables-and-vegetable-products/2896/2","red bell pepper")</f>
        <v>red bell pepper</v>
      </c>
      <c r="C47" s="28" t="s">
        <v>42</v>
      </c>
      <c r="D47" s="25">
        <v>0.97</v>
      </c>
      <c r="E47" s="25">
        <v>2.98</v>
      </c>
      <c r="F47" s="11">
        <v>51</v>
      </c>
      <c r="G47" s="11">
        <v>0</v>
      </c>
      <c r="H47" s="11">
        <v>0</v>
      </c>
      <c r="I47" s="11">
        <v>10</v>
      </c>
      <c r="J47" s="11">
        <v>3</v>
      </c>
      <c r="K47" s="11">
        <v>2</v>
      </c>
      <c r="L47">
        <v>1.03</v>
      </c>
      <c r="M47">
        <v>3.49</v>
      </c>
      <c r="N47">
        <v>0.01</v>
      </c>
      <c r="O47">
        <v>0.04</v>
      </c>
    </row>
    <row r="48" spans="1:15" ht="15" customHeight="1">
      <c r="A48" s="11">
        <v>47</v>
      </c>
      <c r="B48" s="37" t="s">
        <v>63</v>
      </c>
      <c r="C48" s="28" t="s">
        <v>17</v>
      </c>
      <c r="D48" s="25">
        <v>0.1641</v>
      </c>
      <c r="E48" s="25"/>
      <c r="F48" s="11">
        <v>0</v>
      </c>
      <c r="G48" s="11">
        <v>0</v>
      </c>
      <c r="H48" s="11">
        <v>560</v>
      </c>
      <c r="I48" s="11">
        <v>6</v>
      </c>
      <c r="J48" s="11">
        <v>0</v>
      </c>
      <c r="K48" s="11">
        <v>0</v>
      </c>
      <c r="L48">
        <v>0</v>
      </c>
      <c r="M48">
        <v>0</v>
      </c>
      <c r="N48">
        <v>0</v>
      </c>
      <c r="O48">
        <v>0</v>
      </c>
    </row>
    <row r="49" spans="1:15" ht="15" customHeight="1">
      <c r="A49" s="11">
        <v>48</v>
      </c>
      <c r="B49" s="38" t="s">
        <v>64</v>
      </c>
      <c r="C49" s="28" t="s">
        <v>23</v>
      </c>
      <c r="D49" s="25">
        <f>0.0556*0.5</f>
        <v>2.7799999999999998E-2</v>
      </c>
      <c r="E49" s="25"/>
      <c r="F49" s="11">
        <v>119</v>
      </c>
      <c r="G49" s="11">
        <v>14</v>
      </c>
      <c r="H49" s="11">
        <v>0</v>
      </c>
      <c r="I49" s="11">
        <v>0</v>
      </c>
      <c r="J49" s="11">
        <v>0</v>
      </c>
      <c r="K49" s="11">
        <v>0</v>
      </c>
      <c r="L49">
        <v>0</v>
      </c>
      <c r="M49">
        <v>0</v>
      </c>
      <c r="N49">
        <v>0</v>
      </c>
      <c r="O49">
        <v>0</v>
      </c>
    </row>
    <row r="50" spans="1:15" ht="15" customHeight="1">
      <c r="A50" s="11">
        <v>49</v>
      </c>
      <c r="B50" s="39" t="s">
        <v>65</v>
      </c>
      <c r="C50" s="28" t="s">
        <v>42</v>
      </c>
      <c r="D50" s="25">
        <v>7.0000000000000007E-2</v>
      </c>
      <c r="E50" s="25"/>
      <c r="F50" s="11">
        <v>4</v>
      </c>
      <c r="G50" s="11">
        <v>0</v>
      </c>
      <c r="H50" s="11">
        <v>0</v>
      </c>
      <c r="I50" s="11">
        <v>0</v>
      </c>
      <c r="J50" s="11">
        <v>0</v>
      </c>
      <c r="K50" s="11">
        <v>0</v>
      </c>
      <c r="L50">
        <v>0.02</v>
      </c>
      <c r="M50">
        <v>0.1</v>
      </c>
      <c r="N50">
        <v>0</v>
      </c>
      <c r="O50">
        <v>0.01</v>
      </c>
    </row>
    <row r="51" spans="1:15" ht="15" customHeight="1">
      <c r="A51" s="11">
        <v>50</v>
      </c>
      <c r="B51" s="26" t="s">
        <v>66</v>
      </c>
      <c r="C51" s="25" t="s">
        <v>42</v>
      </c>
      <c r="D51" s="25">
        <v>1.63</v>
      </c>
      <c r="E51" s="25">
        <v>3.98</v>
      </c>
      <c r="F51" s="11">
        <v>143</v>
      </c>
      <c r="G51" s="11">
        <v>1</v>
      </c>
      <c r="H51" s="11">
        <v>16</v>
      </c>
      <c r="I51" s="11">
        <v>33</v>
      </c>
      <c r="J51" s="11">
        <v>14</v>
      </c>
      <c r="K51" s="11">
        <v>6</v>
      </c>
      <c r="L51">
        <v>0.09</v>
      </c>
      <c r="M51">
        <v>0.16</v>
      </c>
      <c r="N51">
        <v>0.04</v>
      </c>
      <c r="O51">
        <v>0.08</v>
      </c>
    </row>
    <row r="52" spans="1:15" ht="15" customHeight="1">
      <c r="A52" s="11">
        <v>51</v>
      </c>
      <c r="B52" s="27" t="s">
        <v>67</v>
      </c>
      <c r="C52" s="28" t="s">
        <v>19</v>
      </c>
      <c r="D52" s="25">
        <f>(1.48/16)*8</f>
        <v>0.74</v>
      </c>
      <c r="E52" s="25">
        <f>2.49/2</f>
        <v>1.2450000000000001</v>
      </c>
      <c r="F52" s="11">
        <v>60</v>
      </c>
      <c r="G52" s="11">
        <v>0</v>
      </c>
      <c r="H52" s="11">
        <v>0</v>
      </c>
      <c r="I52" s="11">
        <v>15</v>
      </c>
      <c r="J52" s="11">
        <v>2</v>
      </c>
      <c r="K52" s="11">
        <v>1</v>
      </c>
      <c r="L52">
        <v>0.1</v>
      </c>
      <c r="M52">
        <v>0.16999999999999998</v>
      </c>
      <c r="N52">
        <v>0.01</v>
      </c>
      <c r="O52">
        <v>0.02</v>
      </c>
    </row>
    <row r="53" spans="1:15" ht="15" customHeight="1">
      <c r="A53" s="11">
        <v>52</v>
      </c>
      <c r="B53" s="40" t="s">
        <v>68</v>
      </c>
      <c r="C53" s="28" t="s">
        <v>19</v>
      </c>
      <c r="D53" s="25">
        <f>(2.5/6)*8</f>
        <v>3.3333333333333335</v>
      </c>
      <c r="E53" s="25"/>
      <c r="F53" s="11">
        <v>62</v>
      </c>
      <c r="G53" s="11">
        <v>1</v>
      </c>
      <c r="H53" s="11">
        <v>1</v>
      </c>
      <c r="I53" s="11">
        <v>15</v>
      </c>
      <c r="J53" s="11">
        <v>8</v>
      </c>
      <c r="K53" s="11">
        <v>2</v>
      </c>
      <c r="L53">
        <v>0.06</v>
      </c>
      <c r="M53">
        <v>0.5</v>
      </c>
      <c r="N53">
        <v>0.04</v>
      </c>
      <c r="O53">
        <v>0.05</v>
      </c>
    </row>
    <row r="54" spans="1:15" ht="15" customHeight="1">
      <c r="A54" s="11">
        <v>53</v>
      </c>
      <c r="B54" s="26" t="s">
        <v>69</v>
      </c>
      <c r="C54" s="25" t="s">
        <v>17</v>
      </c>
      <c r="D54" s="25">
        <v>0.2175</v>
      </c>
      <c r="E54" s="25"/>
      <c r="F54" s="11">
        <v>12</v>
      </c>
      <c r="G54" s="11">
        <v>0</v>
      </c>
      <c r="H54" s="11">
        <v>7</v>
      </c>
      <c r="I54" s="11">
        <v>3</v>
      </c>
      <c r="J54" s="11">
        <v>1</v>
      </c>
      <c r="K54" s="11">
        <v>1</v>
      </c>
      <c r="L54">
        <v>0.04</v>
      </c>
      <c r="M54">
        <v>0.4</v>
      </c>
      <c r="N54">
        <v>0.01</v>
      </c>
      <c r="O54">
        <v>0.02</v>
      </c>
    </row>
    <row r="55" spans="1:15" ht="15" customHeight="1">
      <c r="A55" s="11">
        <v>54</v>
      </c>
      <c r="B55" s="29" t="s">
        <v>70</v>
      </c>
      <c r="C55" s="28" t="s">
        <v>42</v>
      </c>
      <c r="D55" s="25">
        <v>1.3</v>
      </c>
      <c r="E55" s="25"/>
      <c r="F55" s="11">
        <v>207</v>
      </c>
      <c r="G55" s="11">
        <v>2</v>
      </c>
      <c r="H55" s="11">
        <v>201</v>
      </c>
      <c r="I55" s="11">
        <v>40</v>
      </c>
      <c r="J55" s="11">
        <v>16</v>
      </c>
      <c r="K55" s="11">
        <v>17</v>
      </c>
      <c r="L55">
        <v>0.76</v>
      </c>
      <c r="M55">
        <v>9.0399999999999991</v>
      </c>
      <c r="N55">
        <v>0.28999999999999998</v>
      </c>
      <c r="O55">
        <v>0.25</v>
      </c>
    </row>
    <row r="56" spans="1:15" ht="15" customHeight="1">
      <c r="A56" s="11">
        <v>55</v>
      </c>
      <c r="B56" s="27" t="s">
        <v>71</v>
      </c>
      <c r="C56" s="28" t="s">
        <v>42</v>
      </c>
      <c r="D56" s="25">
        <f>1.42/2</f>
        <v>0.71</v>
      </c>
      <c r="E56" s="25"/>
      <c r="F56" s="11">
        <v>649</v>
      </c>
      <c r="G56" s="11">
        <v>41</v>
      </c>
      <c r="H56" s="11">
        <v>818</v>
      </c>
      <c r="I56" s="11">
        <v>63</v>
      </c>
      <c r="J56" s="11">
        <v>1</v>
      </c>
      <c r="K56" s="11">
        <v>6</v>
      </c>
      <c r="L56">
        <v>0</v>
      </c>
      <c r="M56">
        <v>0</v>
      </c>
      <c r="N56">
        <v>0.03</v>
      </c>
      <c r="O56">
        <v>3.0000000000000002E-2</v>
      </c>
    </row>
    <row r="57" spans="1:15" ht="15" customHeight="1">
      <c r="A57" s="11">
        <v>56</v>
      </c>
      <c r="B57" s="29" t="s">
        <v>72</v>
      </c>
      <c r="C57" s="28" t="s">
        <v>73</v>
      </c>
      <c r="D57" s="25">
        <f>1.78*0.75</f>
        <v>1.335</v>
      </c>
      <c r="E57" s="25">
        <f>2.98*0.75</f>
        <v>2.2349999999999999</v>
      </c>
      <c r="F57" s="11">
        <v>114</v>
      </c>
      <c r="G57" s="11">
        <v>1</v>
      </c>
      <c r="H57" s="11">
        <v>4</v>
      </c>
      <c r="I57" s="11">
        <v>27</v>
      </c>
      <c r="J57" s="11">
        <v>7</v>
      </c>
      <c r="K57" s="11">
        <v>2</v>
      </c>
      <c r="L57">
        <v>0.01</v>
      </c>
      <c r="M57">
        <v>3.5</v>
      </c>
      <c r="N57">
        <v>0.06</v>
      </c>
      <c r="O57">
        <v>0.08</v>
      </c>
    </row>
    <row r="58" spans="1:15" ht="15" customHeight="1">
      <c r="A58" s="11">
        <v>57</v>
      </c>
      <c r="B58" s="30" t="s">
        <v>74</v>
      </c>
      <c r="C58" s="28" t="s">
        <v>19</v>
      </c>
      <c r="D58" s="25">
        <f>2.48/2</f>
        <v>1.24</v>
      </c>
      <c r="E58" s="25"/>
      <c r="F58" s="11">
        <v>84</v>
      </c>
      <c r="G58" s="11">
        <v>0</v>
      </c>
      <c r="H58" s="11">
        <v>1</v>
      </c>
      <c r="I58" s="11">
        <v>21</v>
      </c>
      <c r="J58" s="11">
        <v>4</v>
      </c>
      <c r="K58" s="11">
        <v>1</v>
      </c>
      <c r="L58">
        <v>0.02</v>
      </c>
      <c r="M58">
        <v>0.24000000000000002</v>
      </c>
      <c r="N58">
        <v>0.01</v>
      </c>
      <c r="O58">
        <v>0.02</v>
      </c>
    </row>
    <row r="59" spans="1:15" ht="15" customHeight="1">
      <c r="A59" s="11">
        <v>58</v>
      </c>
      <c r="B59" s="41" t="s">
        <v>101</v>
      </c>
      <c r="C59" s="41" t="s">
        <v>19</v>
      </c>
      <c r="D59" s="25">
        <f>0.5/2</f>
        <v>0.25</v>
      </c>
      <c r="E59" s="25">
        <f>2.49/2</f>
        <v>1.2450000000000001</v>
      </c>
      <c r="F59">
        <v>22</v>
      </c>
      <c r="G59">
        <v>0</v>
      </c>
      <c r="H59">
        <v>34</v>
      </c>
      <c r="I59">
        <v>4</v>
      </c>
      <c r="J59">
        <v>2</v>
      </c>
      <c r="K59">
        <v>2</v>
      </c>
      <c r="L59" s="21">
        <v>1.01</v>
      </c>
      <c r="M59" s="21">
        <v>1.33</v>
      </c>
      <c r="N59">
        <v>8</v>
      </c>
      <c r="O59">
        <v>21</v>
      </c>
    </row>
    <row r="60" spans="1:15" ht="15" customHeight="1">
      <c r="A60" s="11">
        <v>59</v>
      </c>
      <c r="B60" s="42" t="s">
        <v>102</v>
      </c>
      <c r="C60" s="41" t="s">
        <v>19</v>
      </c>
      <c r="D60" s="25">
        <f>0.0806*8</f>
        <v>0.64480000000000004</v>
      </c>
      <c r="E60" s="25">
        <f>0.0938*8</f>
        <v>0.75039999999999996</v>
      </c>
      <c r="F60">
        <v>200</v>
      </c>
      <c r="G60">
        <v>2.1</v>
      </c>
      <c r="H60">
        <v>0</v>
      </c>
      <c r="I60">
        <v>88.5</v>
      </c>
      <c r="J60">
        <v>4.21</v>
      </c>
      <c r="K60">
        <v>14.75</v>
      </c>
      <c r="L60">
        <v>0</v>
      </c>
      <c r="M60">
        <v>0</v>
      </c>
      <c r="N60">
        <v>0</v>
      </c>
      <c r="O60">
        <v>21.1</v>
      </c>
    </row>
    <row r="61" spans="1:15" ht="15" customHeight="1">
      <c r="A61" s="11">
        <v>60</v>
      </c>
      <c r="B61" s="41" t="s">
        <v>107</v>
      </c>
      <c r="C61" s="41" t="s">
        <v>19</v>
      </c>
      <c r="D61" s="25">
        <f>(8.45/16)*8</f>
        <v>4.2249999999999996</v>
      </c>
      <c r="E61" s="25"/>
      <c r="F61">
        <v>336</v>
      </c>
      <c r="G61">
        <v>25</v>
      </c>
      <c r="H61">
        <v>702</v>
      </c>
      <c r="I61">
        <v>2</v>
      </c>
      <c r="J61">
        <v>0</v>
      </c>
      <c r="K61">
        <v>25</v>
      </c>
      <c r="L61">
        <v>15</v>
      </c>
      <c r="M61">
        <v>0</v>
      </c>
      <c r="N61">
        <v>57</v>
      </c>
      <c r="O61">
        <v>3</v>
      </c>
    </row>
    <row r="62" spans="1:15" ht="15" customHeight="1">
      <c r="A62" s="11">
        <v>61</v>
      </c>
      <c r="B62" s="41" t="s">
        <v>120</v>
      </c>
      <c r="C62" s="41" t="s">
        <v>16</v>
      </c>
      <c r="D62" s="25">
        <v>4.68</v>
      </c>
      <c r="E62" s="41"/>
      <c r="F62">
        <f>141*4</f>
        <v>564</v>
      </c>
      <c r="G62">
        <v>5</v>
      </c>
      <c r="H62">
        <v>61</v>
      </c>
      <c r="I62">
        <v>0</v>
      </c>
      <c r="J62">
        <v>0</v>
      </c>
      <c r="K62">
        <v>22</v>
      </c>
      <c r="L62">
        <v>0</v>
      </c>
      <c r="M62">
        <v>0</v>
      </c>
      <c r="N62">
        <v>1</v>
      </c>
      <c r="O62">
        <v>14</v>
      </c>
    </row>
    <row r="63" spans="1:15" ht="15" customHeight="1">
      <c r="A63" s="11">
        <v>62</v>
      </c>
      <c r="B63" s="41" t="s">
        <v>121</v>
      </c>
      <c r="C63" s="41" t="s">
        <v>42</v>
      </c>
      <c r="D63" s="25">
        <f>(0.78/5)</f>
        <v>0.156</v>
      </c>
      <c r="E63" s="41">
        <f>0.79/5</f>
        <v>0.158</v>
      </c>
      <c r="F63">
        <v>25</v>
      </c>
      <c r="G63">
        <v>0</v>
      </c>
      <c r="H63">
        <v>42</v>
      </c>
      <c r="I63">
        <v>6</v>
      </c>
      <c r="J63">
        <v>2</v>
      </c>
      <c r="K63">
        <v>1</v>
      </c>
      <c r="L63">
        <v>204</v>
      </c>
      <c r="M63">
        <v>6</v>
      </c>
      <c r="N63">
        <v>2</v>
      </c>
      <c r="O63">
        <v>1</v>
      </c>
    </row>
    <row r="64" spans="1:15" ht="15" customHeight="1">
      <c r="A64" s="11">
        <v>63</v>
      </c>
      <c r="B64" s="41" t="s">
        <v>122</v>
      </c>
      <c r="C64" s="41" t="s">
        <v>19</v>
      </c>
      <c r="D64" s="25">
        <f>0.215*8</f>
        <v>1.72</v>
      </c>
      <c r="E64" s="41"/>
      <c r="F64">
        <v>176</v>
      </c>
      <c r="G64">
        <v>0</v>
      </c>
      <c r="H64">
        <v>8</v>
      </c>
      <c r="I64">
        <v>36</v>
      </c>
      <c r="J64">
        <v>2</v>
      </c>
      <c r="K64">
        <v>6</v>
      </c>
      <c r="L64">
        <v>0</v>
      </c>
      <c r="M64">
        <v>0</v>
      </c>
      <c r="N64">
        <v>1</v>
      </c>
      <c r="O64">
        <v>3</v>
      </c>
    </row>
  </sheetData>
  <phoneticPr fontId="32" type="noConversion"/>
  <hyperlinks>
    <hyperlink ref="B60" r:id="rId1"/>
    <hyperlink ref="D2" r:id="rId2" display="http://www.surlatable.com/product/PRO-1245919/?affsrcid=Aff0001&amp;mr:trackingCode=180B84DE-8DEC-E211-A0B9-BC305BF9268C&amp;mr:referralID=NA&amp;mr:adType=pla&amp;mr:ad=30153266381&amp;mr:keyword=&amp;mr:match=&amp;mr:filter=24156051701&amp;origin=pla"/>
    <hyperlink ref="D3" r:id="rId3" display="http://www.spiceplace.com/lipton_onion_soup_mix.php"/>
    <hyperlink ref="D5" r:id="rId4" display="http://www.sokolin.com/detail.aspx?id=37117&amp;vfsku=60553.750.AI&amp;gpla=pla&amp;gclid=CK30odbU67gCFZKi4Aod-iwAbw"/>
    <hyperlink ref="E2" r:id="rId5" display="http://www.organicprairie.com/product/276/under-50?gclid=CMHNt53V67gCFUKe4AoduToAyw"/>
    <hyperlink ref="D7" r:id="rId6" display="http://www.google.com/shopping/product/1699972285137415206?hl=en&amp;gs_rn=24&amp;gs_ri=psy-ab&amp;ds=sh&amp;pq=garlic&amp;cp=5&amp;gs_id=5t&amp;xhr=t&amp;q=soy sauce&amp;pf=p&amp;sclient=psy-ab&amp;oq=soy s&amp;pbx=1&amp;bav=on.2,or.r_cp.r_qf.&amp;bvm=bv.50310824,d.dmg&amp;biw=1338&amp;bih=768&amp;tch=1&amp;ech=6&amp;psi=T2gCUtz"/>
    <hyperlink ref="E8" r:id="rId7" display="http://www.organicprairie.com/product/290/50-75?gclid=CLGT2bTX67gCFRGg4AodelgAgg"/>
    <hyperlink ref="D8" r:id="rId8" display="http://www.omahasteaks.com/servlet/oh?DSP=14&amp;AID=1&amp;SRC=AE2886&amp;ITMSUF=NSF&amp;IID=1327&amp;esvt=0-GOUSC&amp;esvadt=9-4797-634-1&amp;esvaid=40098&amp;gclid=COfZt4PY67gCFcmf4AodSmAAmg"/>
    <hyperlink ref="D9" r:id="rId9" display="http://www.sears.com/shc/s/p_10153_12605_SPM1498914701P?ci_src=184425893&amp;ci_sku=SPM1623702014&amp;sid=IDx20130125xMPFDGx011"/>
    <hyperlink ref="E10" r:id="rId10" display="http://www.vitacost.com/eden-foods-organic-yellow-mustard-9-oz-1?csrc=GPF-PA-024182002102&amp;ci_gpa=pla&amp;ci_kw=&amp;ci_src=17588969&amp;ci_sku=024182002102&amp;ci_src=17588969&amp;ci_sku=024182002102&amp;gclid=CLLp_8DZ67gCFZCe4AodMiIANw"/>
    <hyperlink ref="E11" r:id="rId11" display="http://www.vitaminshoppe.com/store/en/browse/sku_detail.jsp?id=RJ-1029&amp;sourceType=sc&amp;source=FG&amp;adGroup=0-20&amp;keyword=RJ-1029&amp;cm_mmc=Google+Shopping-_-Product+Listing+Ads-_-0-20-_-RJ-1029&amp;gclid=COOv4cLa67gCFYik4AodeisAfQ"/>
    <hyperlink ref="D11" r:id="rId12" display="http://www.spiceplace.com/pure_clover_honey.php"/>
    <hyperlink ref="D12" r:id="rId13" display="http://www.walmart.com/ip/10294410?wmlspartner=wlpa&amp;adid=22222222227000000000&amp;wl0=&amp;wl1=g&amp;wl2=c&amp;wl3=21486607510&amp;wl4=&amp;wl5=pla&amp;wl6=19880599990&amp;veh=sem"/>
    <hyperlink ref="D13" r:id="rId14" display="http://www.walgreens.com/store/c/hellmann's-real-mayonnaise/ID=prod2145058-product?ext=gooGrocery_PLA_Condiments_prod2145058_pla&amp;adtype=%7Badtype%7D&amp;kpid=prod2145058&amp;sst=5a3266f7-cbe7-c549-93cc-00004cc4bf5b"/>
    <hyperlink ref="E13" r:id="rId15" display="http://spectrumorganics.elsstore.com/view/category/2512-mayonnaises---eggless-mayo/"/>
    <hyperlink ref="E14" r:id="rId16" display="http://www.vitacost.com/frontier-natural-products-organic-white-onion-flakes?csrc=GPF-PA-089836183712&amp;ci_gpa=pla&amp;ci_kw=&amp;ci_src=17588969&amp;ci_sku=089836183712&amp;ci_src=17588969&amp;ci_sku=089836183712&amp;gclid=CNXnjODc67gCFUOd4AodTS8ABQ"/>
    <hyperlink ref="D14" r:id="rId17" display="http://www.vitaglo.com/fntr336123.html?utm_source=googlepepla&amp;utm_medium=adwords&amp;id=20838275474&amp;utm_content=pla"/>
    <hyperlink ref="D15" r:id="rId18" display="http://www.walmart.com/ip/10308191?wmlspartner=wlpa&amp;adid=22222222227000000000&amp;wl0=&amp;wl1=g&amp;wl2=c&amp;wl3=21486607510&amp;wl4=&amp;wl5=pla&amp;wl6=19880599990&amp;veh=sem"/>
  </hyperlinks>
  <pageMargins left="0.75" right="0.75" top="1" bottom="1" header="0.5" footer="0.5"/>
  <pageSetup orientation="portrait" horizontalDpi="4294967292" verticalDpi="4294967292"/>
  <legacyDrawing r:id="rId19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N21"/>
  <sheetViews>
    <sheetView workbookViewId="0">
      <pane xSplit="2" ySplit="1" topLeftCell="F2" activePane="bottomRight" state="frozen"/>
      <selection pane="topRight" activeCell="C1" sqref="C1"/>
      <selection pane="bottomLeft" activeCell="A2" sqref="A2"/>
      <selection pane="bottomRight" activeCell="B2" sqref="B2:B21"/>
    </sheetView>
  </sheetViews>
  <sheetFormatPr baseColWidth="10" defaultColWidth="14.1640625" defaultRowHeight="15" customHeight="1" x14ac:dyDescent="0"/>
  <cols>
    <col min="1" max="1" width="45.1640625" customWidth="1"/>
    <col min="2" max="2" width="5.6640625" customWidth="1"/>
    <col min="3" max="3" width="12.5" customWidth="1"/>
    <col min="4" max="119" width="6.83203125" customWidth="1"/>
  </cols>
  <sheetData>
    <row r="1" spans="1:66" s="13" customFormat="1" ht="90">
      <c r="A1" s="13" t="s">
        <v>75</v>
      </c>
      <c r="B1" s="13" t="s">
        <v>4</v>
      </c>
      <c r="C1" s="13" t="s">
        <v>76</v>
      </c>
      <c r="D1" s="18" t="s">
        <v>15</v>
      </c>
      <c r="E1" s="18" t="s">
        <v>94</v>
      </c>
      <c r="F1" s="18" t="s">
        <v>18</v>
      </c>
      <c r="G1" s="18" t="s">
        <v>20</v>
      </c>
      <c r="H1" s="18" t="s">
        <v>21</v>
      </c>
      <c r="I1" s="18" t="s">
        <v>22</v>
      </c>
      <c r="J1" s="18" t="s">
        <v>24</v>
      </c>
      <c r="K1" s="18" t="s">
        <v>25</v>
      </c>
      <c r="L1" s="18" t="s">
        <v>27</v>
      </c>
      <c r="M1" s="18" t="s">
        <v>28</v>
      </c>
      <c r="N1" s="18" t="s">
        <v>29</v>
      </c>
      <c r="O1" s="18" t="s">
        <v>30</v>
      </c>
      <c r="P1" s="18" t="s">
        <v>31</v>
      </c>
      <c r="Q1" s="18" t="s">
        <v>32</v>
      </c>
      <c r="R1" s="18" t="s">
        <v>33</v>
      </c>
      <c r="S1" s="18" t="s">
        <v>34</v>
      </c>
      <c r="T1" s="18" t="s">
        <v>35</v>
      </c>
      <c r="U1" s="18" t="s">
        <v>37</v>
      </c>
      <c r="V1" s="18" t="s">
        <v>38</v>
      </c>
      <c r="W1" s="18" t="s">
        <v>39</v>
      </c>
      <c r="X1" s="13" t="s">
        <v>41</v>
      </c>
      <c r="Y1" s="13" t="s">
        <v>43</v>
      </c>
      <c r="Z1" s="13" t="s">
        <v>44</v>
      </c>
      <c r="AA1" s="13" t="s">
        <v>45</v>
      </c>
      <c r="AB1" s="13" t="s">
        <v>46</v>
      </c>
      <c r="AC1" s="13" t="s">
        <v>47</v>
      </c>
      <c r="AD1" s="13" t="s">
        <v>48</v>
      </c>
      <c r="AE1" s="13" t="s">
        <v>49</v>
      </c>
      <c r="AF1" s="13" t="s">
        <v>50</v>
      </c>
      <c r="AG1" s="13" t="s">
        <v>95</v>
      </c>
      <c r="AH1" s="13" t="s">
        <v>52</v>
      </c>
      <c r="AI1" s="13" t="s">
        <v>53</v>
      </c>
      <c r="AJ1" s="13" t="s">
        <v>54</v>
      </c>
      <c r="AK1" s="13" t="s">
        <v>55</v>
      </c>
      <c r="AL1" s="13" t="s">
        <v>56</v>
      </c>
      <c r="AM1" s="13" t="s">
        <v>57</v>
      </c>
      <c r="AN1" s="13" t="s">
        <v>58</v>
      </c>
      <c r="AO1" s="13" t="s">
        <v>59</v>
      </c>
      <c r="AP1" s="13" t="s">
        <v>60</v>
      </c>
      <c r="AQ1" s="13" t="s">
        <v>61</v>
      </c>
      <c r="AR1" s="13" t="s">
        <v>96</v>
      </c>
      <c r="AS1" s="13" t="s">
        <v>97</v>
      </c>
      <c r="AT1" s="13" t="s">
        <v>62</v>
      </c>
      <c r="AU1" s="13" t="s">
        <v>98</v>
      </c>
      <c r="AV1" s="13" t="s">
        <v>99</v>
      </c>
      <c r="AW1" s="13" t="s">
        <v>100</v>
      </c>
      <c r="AX1" s="13" t="s">
        <v>63</v>
      </c>
      <c r="AY1" s="13" t="s">
        <v>64</v>
      </c>
      <c r="AZ1" s="13" t="s">
        <v>65</v>
      </c>
      <c r="BA1" s="13" t="s">
        <v>66</v>
      </c>
      <c r="BB1" s="13" t="s">
        <v>67</v>
      </c>
      <c r="BC1" s="13" t="s">
        <v>68</v>
      </c>
      <c r="BD1" s="13" t="s">
        <v>69</v>
      </c>
      <c r="BE1" s="13" t="s">
        <v>70</v>
      </c>
      <c r="BF1" s="13" t="s">
        <v>71</v>
      </c>
      <c r="BG1" s="13" t="s">
        <v>72</v>
      </c>
      <c r="BH1" s="13" t="s">
        <v>74</v>
      </c>
      <c r="BI1" t="s">
        <v>101</v>
      </c>
      <c r="BJ1" s="13" t="s">
        <v>102</v>
      </c>
      <c r="BK1" t="s">
        <v>107</v>
      </c>
      <c r="BL1" t="s">
        <v>120</v>
      </c>
      <c r="BM1" s="22" t="s">
        <v>121</v>
      </c>
      <c r="BN1" t="s">
        <v>122</v>
      </c>
    </row>
    <row r="2" spans="1:66" s="13" customFormat="1" ht="15" customHeight="1">
      <c r="A2" s="5" t="str">
        <f>HYPERLINK("http://allrecipes.com/Recipe/Amazing-Pork-Tenderloin-in-the-Slow-Cooker/Detail.aspx","Pork Tenderloin")</f>
        <v>Pork Tenderloin</v>
      </c>
      <c r="B2" s="11">
        <v>1</v>
      </c>
      <c r="C2" s="11">
        <v>6</v>
      </c>
      <c r="D2" s="11">
        <v>2</v>
      </c>
      <c r="E2" s="11">
        <v>1</v>
      </c>
      <c r="F2" s="11">
        <v>1</v>
      </c>
      <c r="G2" s="11">
        <v>0.75</v>
      </c>
      <c r="H2" s="11">
        <v>0.1875</v>
      </c>
      <c r="I2" s="11">
        <v>3</v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</row>
    <row r="3" spans="1:66" s="13" customFormat="1" ht="15" customHeight="1">
      <c r="A3" s="5" t="str">
        <f>HYPERLINK("http://allrecipes.com/Recipe/Aussie-Chicken/Detail.aspx","Aussie Chicken")</f>
        <v>Aussie Chicken</v>
      </c>
      <c r="B3" s="11">
        <v>2</v>
      </c>
      <c r="C3" s="11">
        <v>4</v>
      </c>
      <c r="D3" s="11"/>
      <c r="E3" s="11"/>
      <c r="F3" s="11"/>
      <c r="G3" s="11"/>
      <c r="H3" s="11"/>
      <c r="I3" s="11"/>
      <c r="J3" s="11">
        <v>2</v>
      </c>
      <c r="K3" s="11">
        <v>2</v>
      </c>
      <c r="L3" s="11">
        <v>0.5</v>
      </c>
      <c r="M3" s="11">
        <v>0.5</v>
      </c>
      <c r="N3" s="11">
        <v>0.25</v>
      </c>
      <c r="O3" s="11">
        <v>0.25</v>
      </c>
      <c r="P3" s="11">
        <v>1</v>
      </c>
      <c r="Q3" s="11">
        <v>1</v>
      </c>
      <c r="R3" s="11">
        <v>1</v>
      </c>
      <c r="S3" s="11">
        <v>2</v>
      </c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</row>
    <row r="4" spans="1:66" ht="15" customHeight="1">
      <c r="A4" s="5" t="str">
        <f>HYPERLINK("http://allrecipes.com/Recipe/Awesome-Slow-Cooker-Pot-Roast/Detail.aspx","Awesome Slow Cooker Pot Roast")</f>
        <v>Awesome Slow Cooker Pot Roast</v>
      </c>
      <c r="B4" s="11">
        <v>3</v>
      </c>
      <c r="C4" s="11">
        <v>12</v>
      </c>
      <c r="D4" s="11"/>
      <c r="E4" s="11">
        <v>1</v>
      </c>
      <c r="F4" s="11">
        <v>1.25</v>
      </c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>
        <v>2</v>
      </c>
      <c r="U4" s="11">
        <v>5.5</v>
      </c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</row>
    <row r="5" spans="1:66" ht="15" customHeight="1">
      <c r="A5" s="5" t="str">
        <f>HYPERLINK("http://allrecipes.com/Recipe/Baked-Salmon-II/Detail.aspx","Baked Salmon II")</f>
        <v>Baked Salmon II</v>
      </c>
      <c r="B5" s="11">
        <v>4</v>
      </c>
      <c r="C5" s="11">
        <v>2</v>
      </c>
      <c r="D5" s="11"/>
      <c r="E5" s="11"/>
      <c r="F5" s="11"/>
      <c r="G5" s="11"/>
      <c r="H5" s="11">
        <v>0.125</v>
      </c>
      <c r="I5" s="11"/>
      <c r="J5" s="11"/>
      <c r="K5" s="11">
        <v>1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>
        <v>6</v>
      </c>
      <c r="W5" s="11">
        <v>2</v>
      </c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</row>
    <row r="6" spans="1:66" ht="15" customHeight="1">
      <c r="A6" s="5" t="str">
        <f>HYPERLINK("http://allrecipes.com/Recipe/Ginger-Glazed-Mahi-Mahi/Detail.aspx","Ginger Glazed Mahi Mahi")</f>
        <v>Ginger Glazed Mahi Mahi</v>
      </c>
      <c r="B6" s="11">
        <v>5</v>
      </c>
      <c r="C6" s="11">
        <v>4</v>
      </c>
      <c r="D6" s="11"/>
      <c r="E6" s="11"/>
      <c r="F6" s="11"/>
      <c r="G6" s="11"/>
      <c r="H6" s="11">
        <v>6.25E-2</v>
      </c>
      <c r="I6" s="11">
        <v>3</v>
      </c>
      <c r="J6" s="11"/>
      <c r="K6" s="11"/>
      <c r="L6" s="11"/>
      <c r="M6" s="11">
        <v>0.1875</v>
      </c>
      <c r="N6" s="11"/>
      <c r="O6" s="11"/>
      <c r="P6" s="11"/>
      <c r="Q6" s="11">
        <v>1</v>
      </c>
      <c r="R6" s="11"/>
      <c r="S6" s="11"/>
      <c r="T6" s="11"/>
      <c r="U6" s="11"/>
      <c r="V6" s="11">
        <v>0.66666666666666696</v>
      </c>
      <c r="W6" s="11">
        <v>4</v>
      </c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>
        <v>3</v>
      </c>
      <c r="AN6" s="11">
        <v>1</v>
      </c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</row>
    <row r="7" spans="1:66" ht="15" customHeight="1">
      <c r="A7" s="4" t="str">
        <f>HYPERLINK("http://allrecipes.com/Recipe/Grilled-Tofu-Skewers-with-Sriracha-Sauce/Detail.aspx","Grilled Tofu Skewers with Sriracha Sauce")</f>
        <v>Grilled Tofu Skewers with Sriracha Sauce</v>
      </c>
      <c r="B7" s="11">
        <v>6</v>
      </c>
      <c r="C7" s="11">
        <v>2</v>
      </c>
      <c r="D7" s="11"/>
      <c r="E7" s="11"/>
      <c r="F7" s="11"/>
      <c r="G7" s="11"/>
      <c r="H7" s="11"/>
      <c r="I7" s="11">
        <v>4</v>
      </c>
      <c r="J7" s="11"/>
      <c r="K7" s="11"/>
      <c r="L7" s="11"/>
      <c r="M7" s="11"/>
      <c r="N7" s="11"/>
      <c r="O7" s="11"/>
      <c r="P7" s="11"/>
      <c r="Q7" s="11"/>
      <c r="R7" s="11">
        <v>1</v>
      </c>
      <c r="S7" s="11"/>
      <c r="T7" s="11"/>
      <c r="U7" s="11"/>
      <c r="V7" s="11"/>
      <c r="W7" s="11"/>
      <c r="X7" s="11"/>
      <c r="Y7" s="11">
        <v>0.5</v>
      </c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>
        <v>8</v>
      </c>
      <c r="AV7" s="11">
        <v>1</v>
      </c>
      <c r="AW7" s="11">
        <v>1</v>
      </c>
      <c r="AX7" s="11">
        <v>0.125</v>
      </c>
      <c r="AY7" s="11">
        <v>2</v>
      </c>
      <c r="AZ7" s="11">
        <v>1</v>
      </c>
      <c r="BA7" s="11"/>
      <c r="BB7" s="11"/>
      <c r="BC7" s="11"/>
      <c r="BD7" s="11"/>
      <c r="BE7" s="11"/>
      <c r="BF7" s="11"/>
      <c r="BG7" s="11"/>
      <c r="BH7" s="11"/>
    </row>
    <row r="8" spans="1:66" ht="15" customHeight="1">
      <c r="A8" s="4" t="str">
        <f>HYPERLINK("http://allrecipes.com/Recipe/Grilled-Vegetables-with-Balsamic-Vinegar/Detail.aspx","Grilled Vegetables with Balsamic Vinegar")</f>
        <v>Grilled Vegetables with Balsamic Vinegar</v>
      </c>
      <c r="B8" s="11">
        <v>7</v>
      </c>
      <c r="C8" s="11">
        <v>8</v>
      </c>
      <c r="D8" s="11"/>
      <c r="E8" s="11"/>
      <c r="F8" s="11"/>
      <c r="G8" s="11"/>
      <c r="H8" s="11"/>
      <c r="I8" s="11">
        <v>2</v>
      </c>
      <c r="J8" s="11"/>
      <c r="K8" s="11">
        <v>0.5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>
        <v>8</v>
      </c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>
        <v>2</v>
      </c>
      <c r="AN8" s="11"/>
      <c r="AO8" s="11"/>
      <c r="AP8" s="11"/>
      <c r="AQ8" s="11"/>
      <c r="AR8" s="11"/>
      <c r="AS8" s="11"/>
      <c r="AT8" s="11"/>
      <c r="AU8" s="11"/>
      <c r="AV8" s="11">
        <v>3</v>
      </c>
      <c r="AW8" s="11">
        <v>2</v>
      </c>
      <c r="AX8" s="11"/>
      <c r="AY8" s="11"/>
      <c r="AZ8" s="11"/>
      <c r="BA8" s="11">
        <v>2</v>
      </c>
      <c r="BB8" s="11"/>
      <c r="BC8" s="11"/>
      <c r="BD8" s="11"/>
      <c r="BE8" s="11"/>
      <c r="BF8" s="11"/>
      <c r="BG8" s="11"/>
      <c r="BH8" s="11"/>
    </row>
    <row r="9" spans="1:66" ht="15" customHeight="1">
      <c r="A9" s="14" t="str">
        <f>HYPERLINK("http://allrecipes.com/Recipe/Creamy-Au-Gratin-Potatoes/Detail.aspx","Creamy Au Gratin Potatoes")</f>
        <v>Creamy Au Gratin Potatoes</v>
      </c>
      <c r="B9" s="11">
        <v>8</v>
      </c>
      <c r="C9" s="11">
        <v>4</v>
      </c>
      <c r="D9" s="11"/>
      <c r="E9" s="11"/>
      <c r="F9" s="11"/>
      <c r="G9" s="11"/>
      <c r="H9" s="11"/>
      <c r="I9" s="11"/>
      <c r="J9" s="11"/>
      <c r="K9" s="11">
        <v>0.5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>
        <v>4</v>
      </c>
      <c r="Y9" s="11">
        <v>1</v>
      </c>
      <c r="Z9" s="11">
        <v>0.1875</v>
      </c>
      <c r="AA9" s="11">
        <v>2</v>
      </c>
      <c r="AB9" s="11">
        <v>1.5</v>
      </c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</row>
    <row r="10" spans="1:66" ht="15" customHeight="1">
      <c r="A10" s="14" t="str">
        <f>HYPERLINK("http://allrecipes.com/Recipe/Garlic-Green-Beans/Detail.aspx","Garlic Green Beans")</f>
        <v>Garlic Green Beans</v>
      </c>
      <c r="B10" s="11">
        <v>9</v>
      </c>
      <c r="C10" s="11">
        <v>5</v>
      </c>
      <c r="D10" s="11"/>
      <c r="E10" s="11"/>
      <c r="F10" s="11"/>
      <c r="G10" s="11"/>
      <c r="H10" s="11">
        <v>0.125</v>
      </c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>
        <v>3</v>
      </c>
      <c r="W10" s="11"/>
      <c r="X10" s="11"/>
      <c r="Y10" s="11"/>
      <c r="Z10" s="11">
        <v>6.25E-2</v>
      </c>
      <c r="AA10" s="11"/>
      <c r="AB10" s="11"/>
      <c r="AC10" s="11"/>
      <c r="AD10" s="11"/>
      <c r="AE10" s="11"/>
      <c r="AF10" s="11"/>
      <c r="AG10" s="11">
        <v>2</v>
      </c>
      <c r="AH10" s="11">
        <v>0.25</v>
      </c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</row>
    <row r="11" spans="1:66" ht="15" customHeight="1">
      <c r="A11" s="14" t="str">
        <f>HYPERLINK("http://allrecipes.com/Recipe/Gourmet-Sweet-Potato-Classic/Detail.aspx","Gourmet Sweet Potato Classic")</f>
        <v>Gourmet Sweet Potato Classic</v>
      </c>
      <c r="B11" s="11">
        <v>10</v>
      </c>
      <c r="C11" s="11">
        <v>8</v>
      </c>
      <c r="D11" s="11"/>
      <c r="E11" s="11"/>
      <c r="F11" s="11"/>
      <c r="G11" s="11"/>
      <c r="H11" s="11"/>
      <c r="I11" s="11"/>
      <c r="J11" s="11"/>
      <c r="K11" s="11">
        <v>0.25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>
        <v>0.25</v>
      </c>
      <c r="AA11" s="11"/>
      <c r="AB11" s="11"/>
      <c r="AC11" s="11"/>
      <c r="AD11" s="11">
        <v>1.25</v>
      </c>
      <c r="AE11" s="11">
        <v>2</v>
      </c>
      <c r="AF11" s="11"/>
      <c r="AG11" s="11"/>
      <c r="AH11" s="11"/>
      <c r="AI11" s="11"/>
      <c r="AJ11" s="11">
        <v>0.1875</v>
      </c>
      <c r="AK11" s="11"/>
      <c r="AL11" s="11"/>
      <c r="AM11" s="11"/>
      <c r="AN11" s="11"/>
      <c r="AO11" s="11">
        <v>5</v>
      </c>
      <c r="AP11" s="11">
        <v>2</v>
      </c>
      <c r="AQ11" s="11">
        <v>0.5</v>
      </c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</row>
    <row r="12" spans="1:66" ht="15" customHeight="1">
      <c r="A12" s="14" t="str">
        <f>HYPERLINK("http://allrecipes.com/Recipe/Green-Beans-with-Cherry-Tomatoes/Detail.aspx","Green Beans with Cherry Tomatoes")</f>
        <v>Green Beans with Cherry Tomatoes</v>
      </c>
      <c r="B12" s="11">
        <v>11</v>
      </c>
      <c r="C12" s="11">
        <v>6</v>
      </c>
      <c r="D12" s="11"/>
      <c r="E12" s="11"/>
      <c r="F12" s="11">
        <v>1.5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>
        <v>0.25</v>
      </c>
      <c r="AA12" s="11"/>
      <c r="AB12" s="11"/>
      <c r="AC12" s="11"/>
      <c r="AD12" s="11">
        <v>6.25E-2</v>
      </c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>
        <v>1.5</v>
      </c>
      <c r="AS12" s="11">
        <v>0.75</v>
      </c>
      <c r="AT12" s="11">
        <v>2</v>
      </c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</row>
    <row r="13" spans="1:66" ht="15" customHeight="1">
      <c r="A13" s="14" t="str">
        <f>HYPERLINK("http://allrecipes.com/Recipe/Roasted-Brussels-Sprouts/Detail.aspx","Roasted Brussels Sprouts")</f>
        <v>Roasted Brussels Sprouts</v>
      </c>
      <c r="B13" s="11">
        <v>12</v>
      </c>
      <c r="C13" s="11">
        <v>6</v>
      </c>
      <c r="D13" s="11"/>
      <c r="E13" s="11"/>
      <c r="F13" s="11"/>
      <c r="G13" s="11"/>
      <c r="H13" s="11"/>
      <c r="I13" s="11"/>
      <c r="J13" s="11"/>
      <c r="K13" s="11">
        <v>1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>
        <v>3</v>
      </c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>
        <v>24</v>
      </c>
      <c r="BE13" s="11"/>
      <c r="BF13" s="11"/>
      <c r="BG13" s="11"/>
      <c r="BH13" s="11"/>
    </row>
    <row r="14" spans="1:66" ht="15" customHeight="1">
      <c r="A14" s="14" t="str">
        <f>HYPERLINK("http://allrecipes.com/Recipe/Roasted-Garlic-Lemon-Broccoli/Detail.aspx","Roasted Garlic Lemon Broccoli")</f>
        <v>Roasted Garlic Lemon Broccoli</v>
      </c>
      <c r="B14" s="11">
        <v>13</v>
      </c>
      <c r="C14" s="11">
        <v>6</v>
      </c>
      <c r="D14" s="11"/>
      <c r="E14" s="11"/>
      <c r="F14" s="11"/>
      <c r="G14" s="11"/>
      <c r="H14" s="11">
        <v>3.125E-2</v>
      </c>
      <c r="I14" s="11"/>
      <c r="J14" s="11"/>
      <c r="K14" s="11">
        <v>1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>
        <v>0.66666666666666696</v>
      </c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>
        <v>2</v>
      </c>
      <c r="BF14" s="11"/>
      <c r="BG14" s="11"/>
      <c r="BH14" s="11"/>
    </row>
    <row r="15" spans="1:66" ht="15" customHeight="1">
      <c r="A15" s="15" t="str">
        <f>HYPERLINK("http://allrecipes.com/Recipe/Double-Layer-Pumpkin-Cheesecake-2/Detail.aspx","Double Layer Pumpkin Cheesecake")</f>
        <v>Double Layer Pumpkin Cheesecake</v>
      </c>
      <c r="B15" s="11">
        <v>14</v>
      </c>
      <c r="C15" s="11">
        <v>8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>
        <v>1</v>
      </c>
      <c r="AD15" s="11">
        <v>0.5</v>
      </c>
      <c r="AE15" s="11">
        <v>2</v>
      </c>
      <c r="AF15" s="11">
        <v>0.5</v>
      </c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</row>
    <row r="16" spans="1:66" ht="15" customHeight="1">
      <c r="A16" s="15" t="str">
        <f>HYPERLINK("http://allrecipes.com/Recipe/Fresh-Pineapple-Upside-Down-Cake/Detail.aspx","Fresh Pineapple Upside Down Cake")</f>
        <v>Fresh Pineapple Upside Down Cake</v>
      </c>
      <c r="B16" s="11">
        <v>15</v>
      </c>
      <c r="C16" s="11">
        <v>8</v>
      </c>
      <c r="D16" s="11"/>
      <c r="E16" s="11"/>
      <c r="F16" s="11"/>
      <c r="G16" s="11"/>
      <c r="H16" s="11"/>
      <c r="I16" s="11"/>
      <c r="J16" s="11"/>
      <c r="K16" s="11">
        <v>2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>
        <v>0.75</v>
      </c>
      <c r="AA16" s="11"/>
      <c r="AB16" s="11"/>
      <c r="AC16" s="11"/>
      <c r="AD16" s="11">
        <v>1.25</v>
      </c>
      <c r="AE16" s="11">
        <v>3</v>
      </c>
      <c r="AF16" s="11"/>
      <c r="AG16" s="11"/>
      <c r="AH16" s="11"/>
      <c r="AI16" s="11">
        <v>0.75</v>
      </c>
      <c r="AJ16" s="11">
        <v>1.5</v>
      </c>
      <c r="AK16" s="11">
        <v>2</v>
      </c>
      <c r="AL16" s="11">
        <v>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</row>
    <row r="17" spans="1:66" ht="15" customHeight="1">
      <c r="A17" s="15" t="str">
        <f>HYPERLINK("http://allrecipes.com/Recipe/Peach-and-Blackberry-Cobbler/Detail.aspx","Peach and Blackberry Cobbler")</f>
        <v>Peach and Blackberry Cobbler</v>
      </c>
      <c r="B17" s="11">
        <v>16</v>
      </c>
      <c r="C17" s="11">
        <v>4</v>
      </c>
      <c r="D17" s="11"/>
      <c r="E17" s="11"/>
      <c r="F17" s="11"/>
      <c r="G17" s="11"/>
      <c r="H17" s="11"/>
      <c r="I17" s="11"/>
      <c r="J17" s="11"/>
      <c r="K17" s="11">
        <v>0.5</v>
      </c>
      <c r="L17" s="11"/>
      <c r="M17" s="11"/>
      <c r="N17" s="11"/>
      <c r="O17" s="11"/>
      <c r="P17" s="11"/>
      <c r="Q17" s="11"/>
      <c r="R17" s="11">
        <v>4</v>
      </c>
      <c r="S17" s="11"/>
      <c r="T17" s="11"/>
      <c r="U17" s="11"/>
      <c r="V17" s="11"/>
      <c r="W17" s="11"/>
      <c r="X17" s="11"/>
      <c r="Y17" s="11"/>
      <c r="Z17" s="11">
        <v>0.5</v>
      </c>
      <c r="AA17" s="11">
        <v>1</v>
      </c>
      <c r="AB17" s="11"/>
      <c r="AC17" s="11"/>
      <c r="AD17" s="11">
        <v>1.25</v>
      </c>
      <c r="AE17" s="11"/>
      <c r="AF17" s="11"/>
      <c r="AG17" s="11"/>
      <c r="AH17" s="11"/>
      <c r="AI17" s="11"/>
      <c r="AJ17" s="11">
        <v>1.25</v>
      </c>
      <c r="AK17" s="11">
        <v>6</v>
      </c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>
        <v>4</v>
      </c>
      <c r="BC17" s="11">
        <v>1</v>
      </c>
      <c r="BD17" s="11"/>
      <c r="BE17" s="11"/>
      <c r="BF17" s="11"/>
      <c r="BG17" s="11"/>
      <c r="BH17" s="11"/>
    </row>
    <row r="18" spans="1:66" ht="15" customHeight="1">
      <c r="A18" s="15" t="str">
        <f>HYPERLINK("http://allrecipes.com/Recipe/Summer-Fruit-Galettes/Detail.aspx","Summer Fruit Galettes")</f>
        <v>Summer Fruit Galettes</v>
      </c>
      <c r="B18" s="11">
        <v>17</v>
      </c>
      <c r="C18" s="11">
        <v>2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>
        <v>0.625</v>
      </c>
      <c r="AE18" s="11"/>
      <c r="AF18" s="11"/>
      <c r="AG18" s="11"/>
      <c r="AH18" s="11"/>
      <c r="AI18" s="11"/>
      <c r="AJ18" s="11">
        <v>0.25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>
        <v>1.5</v>
      </c>
      <c r="BC18" s="11"/>
      <c r="BD18" s="11"/>
      <c r="BE18" s="11"/>
      <c r="BF18" s="11">
        <v>2</v>
      </c>
      <c r="BG18" s="11">
        <v>1</v>
      </c>
      <c r="BH18" s="11">
        <v>1</v>
      </c>
    </row>
    <row r="19" spans="1:66" ht="15" customHeight="1">
      <c r="A19" s="19" t="s">
        <v>93</v>
      </c>
      <c r="B19" s="11">
        <v>18</v>
      </c>
      <c r="C19">
        <v>4</v>
      </c>
      <c r="H19">
        <f>2/16</f>
        <v>0.125</v>
      </c>
      <c r="K19">
        <v>0.5</v>
      </c>
      <c r="V19">
        <v>2</v>
      </c>
      <c r="Y19">
        <v>0.25</v>
      </c>
      <c r="AT19">
        <v>4</v>
      </c>
      <c r="BI19">
        <v>0.25</v>
      </c>
      <c r="BJ19">
        <v>4</v>
      </c>
      <c r="BK19">
        <v>1</v>
      </c>
    </row>
    <row r="20" spans="1:66" ht="15" customHeight="1">
      <c r="A20" t="s">
        <v>118</v>
      </c>
      <c r="B20" s="11">
        <v>19</v>
      </c>
      <c r="C20">
        <v>4</v>
      </c>
      <c r="BN20">
        <v>2</v>
      </c>
    </row>
    <row r="21" spans="1:66" ht="15" customHeight="1">
      <c r="A21" t="s">
        <v>119</v>
      </c>
      <c r="B21" s="11">
        <v>20</v>
      </c>
      <c r="C21">
        <v>4</v>
      </c>
      <c r="H21">
        <f>2/16</f>
        <v>0.125</v>
      </c>
      <c r="Q21">
        <v>1</v>
      </c>
      <c r="Y21">
        <v>1</v>
      </c>
      <c r="AT21">
        <v>2</v>
      </c>
      <c r="AW21">
        <v>0.5</v>
      </c>
      <c r="BL21">
        <v>1</v>
      </c>
      <c r="BM21">
        <v>2</v>
      </c>
    </row>
  </sheetData>
  <phoneticPr fontId="32" type="noConversion"/>
  <hyperlinks>
    <hyperlink ref="A19" r:id="rId1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W28"/>
  <sheetViews>
    <sheetView workbookViewId="0">
      <selection activeCell="W8" sqref="W8"/>
    </sheetView>
  </sheetViews>
  <sheetFormatPr baseColWidth="10" defaultColWidth="11.33203125" defaultRowHeight="15" customHeight="1" x14ac:dyDescent="0"/>
  <cols>
    <col min="1" max="1" width="6.83203125" bestFit="1" customWidth="1"/>
    <col min="2" max="2" width="7.5" style="8" bestFit="1" customWidth="1"/>
    <col min="3" max="3" width="9.83203125" style="8" bestFit="1" customWidth="1"/>
    <col min="4" max="10" width="2.1640625" style="8" bestFit="1" customWidth="1"/>
    <col min="11" max="12" width="2.1640625" bestFit="1" customWidth="1"/>
    <col min="13" max="23" width="3.1640625" bestFit="1" customWidth="1"/>
  </cols>
  <sheetData>
    <row r="1" spans="1:23" ht="15" customHeight="1">
      <c r="A1" s="11" t="s">
        <v>77</v>
      </c>
      <c r="B1" s="8" t="s">
        <v>78</v>
      </c>
      <c r="C1" s="16" t="s">
        <v>90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13</v>
      </c>
      <c r="Q1" s="6">
        <v>14</v>
      </c>
      <c r="R1" s="6">
        <v>15</v>
      </c>
      <c r="S1" s="6">
        <v>16</v>
      </c>
      <c r="T1" s="6">
        <v>17</v>
      </c>
      <c r="U1" s="6">
        <v>18</v>
      </c>
      <c r="V1" s="6">
        <v>19</v>
      </c>
      <c r="W1" s="6">
        <v>20</v>
      </c>
    </row>
    <row r="2" spans="1:23" ht="15" customHeight="1">
      <c r="A2" s="8" t="s">
        <v>79</v>
      </c>
      <c r="B2" s="9">
        <v>1</v>
      </c>
      <c r="C2" s="17" t="s">
        <v>91</v>
      </c>
      <c r="D2" s="10">
        <v>1</v>
      </c>
      <c r="E2" s="2"/>
      <c r="F2" s="10"/>
      <c r="G2" s="2"/>
      <c r="H2" s="10"/>
      <c r="I2" s="2"/>
      <c r="J2" s="10"/>
      <c r="K2" s="2"/>
      <c r="L2" s="10"/>
      <c r="M2" s="2"/>
      <c r="N2" s="10"/>
      <c r="O2" s="2"/>
      <c r="P2" s="10"/>
      <c r="Q2" s="2"/>
      <c r="R2" s="10"/>
      <c r="S2" s="2"/>
      <c r="T2" s="10"/>
    </row>
    <row r="3" spans="1:23" ht="15" customHeight="1">
      <c r="A3" s="8" t="s">
        <v>80</v>
      </c>
      <c r="B3" s="9">
        <v>2</v>
      </c>
      <c r="C3" s="17" t="s">
        <v>91</v>
      </c>
      <c r="D3" s="10"/>
      <c r="E3" s="2">
        <v>1</v>
      </c>
      <c r="F3" s="10"/>
      <c r="G3" s="2"/>
      <c r="H3" s="10"/>
      <c r="I3" s="2"/>
      <c r="J3" s="10"/>
      <c r="K3" s="2"/>
      <c r="L3" s="10"/>
      <c r="M3" s="2"/>
      <c r="N3" s="10"/>
      <c r="O3" s="2"/>
      <c r="P3" s="10"/>
      <c r="Q3" s="2"/>
      <c r="R3" s="10"/>
      <c r="S3" s="2"/>
      <c r="T3" s="10"/>
    </row>
    <row r="4" spans="1:23" ht="15" customHeight="1">
      <c r="A4" s="8" t="s">
        <v>81</v>
      </c>
      <c r="B4" s="9">
        <v>3</v>
      </c>
      <c r="C4" s="17" t="s">
        <v>91</v>
      </c>
      <c r="D4" s="10"/>
      <c r="E4" s="2"/>
      <c r="F4" s="10">
        <v>1</v>
      </c>
      <c r="G4" s="2"/>
      <c r="H4" s="10"/>
      <c r="I4" s="2"/>
      <c r="J4" s="10"/>
      <c r="K4" s="2"/>
      <c r="L4" s="10"/>
      <c r="M4" s="2"/>
      <c r="N4" s="10"/>
      <c r="O4" s="2"/>
      <c r="P4" s="10"/>
      <c r="Q4" s="2"/>
      <c r="R4" s="10"/>
      <c r="S4" s="2"/>
      <c r="T4" s="10"/>
    </row>
    <row r="5" spans="1:23" ht="15" customHeight="1">
      <c r="A5" s="8" t="s">
        <v>82</v>
      </c>
      <c r="B5" s="9">
        <v>4</v>
      </c>
      <c r="C5" s="17" t="s">
        <v>91</v>
      </c>
      <c r="D5" s="10"/>
      <c r="E5" s="2"/>
      <c r="F5" s="10"/>
      <c r="G5" s="2">
        <v>1</v>
      </c>
      <c r="H5" s="10"/>
      <c r="I5" s="2"/>
      <c r="J5" s="10"/>
      <c r="K5" s="2"/>
      <c r="L5" s="10"/>
      <c r="M5" s="2"/>
      <c r="N5" s="10"/>
      <c r="O5" s="2"/>
      <c r="P5" s="10"/>
      <c r="Q5" s="2"/>
      <c r="R5" s="10"/>
      <c r="S5" s="2"/>
      <c r="T5" s="10"/>
    </row>
    <row r="6" spans="1:23" ht="15" customHeight="1">
      <c r="A6" s="8" t="s">
        <v>83</v>
      </c>
      <c r="B6" s="9">
        <v>5</v>
      </c>
      <c r="C6" s="17" t="s">
        <v>91</v>
      </c>
      <c r="D6" s="10"/>
      <c r="E6" s="2"/>
      <c r="F6" s="10"/>
      <c r="G6" s="2"/>
      <c r="H6" s="10">
        <v>1</v>
      </c>
      <c r="I6" s="2"/>
      <c r="J6" s="10"/>
      <c r="K6" s="2"/>
      <c r="L6" s="10"/>
      <c r="M6" s="2"/>
      <c r="N6" s="10"/>
      <c r="O6" s="2"/>
      <c r="P6" s="10"/>
      <c r="Q6" s="2"/>
      <c r="R6" s="10"/>
      <c r="S6" s="2"/>
      <c r="T6" s="10"/>
    </row>
    <row r="7" spans="1:23" ht="15" customHeight="1">
      <c r="A7" s="8" t="s">
        <v>84</v>
      </c>
      <c r="B7" s="9">
        <v>6</v>
      </c>
      <c r="C7" s="17" t="s">
        <v>92</v>
      </c>
      <c r="D7" s="10"/>
      <c r="E7" s="2"/>
      <c r="F7" s="10"/>
      <c r="G7" s="2"/>
      <c r="H7" s="10"/>
      <c r="I7" s="2">
        <v>1</v>
      </c>
      <c r="J7" s="10"/>
      <c r="K7" s="2"/>
      <c r="L7" s="10"/>
      <c r="M7" s="2"/>
      <c r="N7" s="10"/>
      <c r="O7" s="2"/>
      <c r="P7" s="10"/>
      <c r="Q7" s="2"/>
      <c r="R7" s="10"/>
      <c r="S7" s="2"/>
      <c r="T7" s="10"/>
    </row>
    <row r="8" spans="1:23" ht="15" customHeight="1">
      <c r="A8" s="8" t="s">
        <v>85</v>
      </c>
      <c r="B8" s="9">
        <v>7</v>
      </c>
      <c r="C8" s="17" t="s">
        <v>92</v>
      </c>
      <c r="D8" s="10"/>
      <c r="E8" s="2"/>
      <c r="F8" s="10"/>
      <c r="G8" s="2"/>
      <c r="H8" s="10"/>
      <c r="I8" s="2"/>
      <c r="J8" s="10">
        <v>1</v>
      </c>
      <c r="K8" s="2"/>
      <c r="L8" s="10"/>
      <c r="M8" s="2"/>
      <c r="N8" s="10"/>
      <c r="O8" s="2"/>
      <c r="P8" s="10"/>
      <c r="Q8" s="2"/>
      <c r="R8" s="10"/>
      <c r="S8" s="2"/>
      <c r="T8" s="7"/>
    </row>
    <row r="9" spans="1:23" ht="15" customHeight="1">
      <c r="A9" t="s">
        <v>108</v>
      </c>
      <c r="B9" s="8">
        <v>8</v>
      </c>
      <c r="C9" s="16" t="s">
        <v>91</v>
      </c>
      <c r="K9">
        <v>1</v>
      </c>
    </row>
    <row r="10" spans="1:23" ht="15" customHeight="1">
      <c r="A10" s="8" t="s">
        <v>109</v>
      </c>
      <c r="B10" s="9">
        <v>9</v>
      </c>
      <c r="L10">
        <v>1</v>
      </c>
    </row>
    <row r="11" spans="1:23" ht="15" customHeight="1">
      <c r="A11" t="s">
        <v>110</v>
      </c>
      <c r="B11" s="8">
        <v>10</v>
      </c>
      <c r="M11">
        <v>1</v>
      </c>
    </row>
    <row r="12" spans="1:23" ht="15" customHeight="1">
      <c r="A12" s="8" t="s">
        <v>111</v>
      </c>
      <c r="B12" s="9">
        <v>11</v>
      </c>
      <c r="N12">
        <v>1</v>
      </c>
    </row>
    <row r="13" spans="1:23" ht="15" customHeight="1">
      <c r="A13" t="s">
        <v>112</v>
      </c>
      <c r="B13" s="8">
        <v>12</v>
      </c>
      <c r="O13">
        <v>1</v>
      </c>
    </row>
    <row r="14" spans="1:23" ht="15" customHeight="1">
      <c r="A14" s="8" t="s">
        <v>113</v>
      </c>
      <c r="B14" s="9">
        <v>13</v>
      </c>
      <c r="P14">
        <v>1</v>
      </c>
    </row>
    <row r="15" spans="1:23" ht="15" customHeight="1">
      <c r="A15" t="s">
        <v>114</v>
      </c>
      <c r="B15" s="8">
        <v>14</v>
      </c>
      <c r="Q15">
        <v>1</v>
      </c>
    </row>
    <row r="16" spans="1:23" ht="15" customHeight="1">
      <c r="A16" s="8" t="s">
        <v>115</v>
      </c>
      <c r="B16" s="9">
        <v>15</v>
      </c>
      <c r="R16">
        <v>1</v>
      </c>
    </row>
    <row r="17" spans="1:23" ht="15" customHeight="1">
      <c r="A17" t="s">
        <v>116</v>
      </c>
      <c r="B17" s="8">
        <v>16</v>
      </c>
      <c r="S17">
        <v>1</v>
      </c>
    </row>
    <row r="18" spans="1:23" ht="15" customHeight="1">
      <c r="A18" s="8" t="s">
        <v>117</v>
      </c>
      <c r="B18" s="9">
        <v>17</v>
      </c>
      <c r="T18">
        <v>1</v>
      </c>
    </row>
    <row r="19" spans="1:23" ht="15" customHeight="1">
      <c r="A19" t="s">
        <v>123</v>
      </c>
      <c r="B19" s="8">
        <v>18</v>
      </c>
      <c r="U19">
        <v>1</v>
      </c>
    </row>
    <row r="20" spans="1:23" ht="15" customHeight="1">
      <c r="A20" s="8" t="s">
        <v>124</v>
      </c>
      <c r="B20" s="9">
        <v>19</v>
      </c>
      <c r="V20">
        <v>1</v>
      </c>
    </row>
    <row r="21" spans="1:23" ht="15" customHeight="1">
      <c r="A21" t="s">
        <v>125</v>
      </c>
      <c r="B21" s="8">
        <v>20</v>
      </c>
      <c r="V21">
        <v>1</v>
      </c>
      <c r="W21">
        <v>1</v>
      </c>
    </row>
    <row r="22" spans="1:23" ht="15" customHeight="1">
      <c r="A22" s="8" t="s">
        <v>126</v>
      </c>
      <c r="B22" s="9">
        <v>21</v>
      </c>
    </row>
    <row r="23" spans="1:23" ht="15" customHeight="1">
      <c r="A23" t="s">
        <v>127</v>
      </c>
      <c r="B23" s="8">
        <v>22</v>
      </c>
    </row>
    <row r="24" spans="1:23" ht="15" customHeight="1">
      <c r="A24" s="8" t="s">
        <v>128</v>
      </c>
      <c r="B24" s="9">
        <v>23</v>
      </c>
    </row>
    <row r="25" spans="1:23" ht="15" customHeight="1">
      <c r="A25" t="s">
        <v>0</v>
      </c>
      <c r="B25" s="8">
        <v>24</v>
      </c>
    </row>
    <row r="26" spans="1:23" ht="15" customHeight="1">
      <c r="A26" s="8" t="s">
        <v>1</v>
      </c>
      <c r="B26" s="9">
        <v>25</v>
      </c>
    </row>
    <row r="27" spans="1:23" ht="15" customHeight="1">
      <c r="A27" t="s">
        <v>2</v>
      </c>
      <c r="B27" s="8">
        <v>26</v>
      </c>
    </row>
    <row r="28" spans="1:23" ht="15" customHeight="1">
      <c r="A28" s="8" t="s">
        <v>3</v>
      </c>
      <c r="B28" s="9">
        <v>27</v>
      </c>
    </row>
  </sheetData>
  <phoneticPr fontId="32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D11"/>
  <sheetViews>
    <sheetView workbookViewId="0">
      <selection activeCell="A11" sqref="A11"/>
    </sheetView>
  </sheetViews>
  <sheetFormatPr baseColWidth="10" defaultColWidth="17.1640625" defaultRowHeight="12.75" customHeight="1" x14ac:dyDescent="0"/>
  <sheetData>
    <row r="1" spans="1:4" ht="12.75" customHeight="1">
      <c r="A1" t="s">
        <v>86</v>
      </c>
      <c r="B1" t="s">
        <v>87</v>
      </c>
      <c r="C1" t="s">
        <v>88</v>
      </c>
      <c r="D1" t="s">
        <v>89</v>
      </c>
    </row>
    <row r="2" spans="1:4" ht="12.75" customHeight="1">
      <c r="A2" t="s">
        <v>9</v>
      </c>
      <c r="B2">
        <v>2000</v>
      </c>
      <c r="C2">
        <v>0</v>
      </c>
      <c r="D2">
        <v>9999999</v>
      </c>
    </row>
    <row r="3" spans="1:4" ht="12.75" customHeight="1">
      <c r="A3" t="s">
        <v>10</v>
      </c>
      <c r="B3">
        <v>65</v>
      </c>
      <c r="D3">
        <v>9999999</v>
      </c>
    </row>
    <row r="4" spans="1:4" ht="12.75" customHeight="1">
      <c r="A4" t="s">
        <v>11</v>
      </c>
      <c r="B4">
        <v>2400</v>
      </c>
      <c r="D4">
        <v>9999999</v>
      </c>
    </row>
    <row r="5" spans="1:4" ht="12.75" customHeight="1">
      <c r="A5" t="s">
        <v>12</v>
      </c>
      <c r="B5">
        <v>300</v>
      </c>
      <c r="D5">
        <v>9999999</v>
      </c>
    </row>
    <row r="6" spans="1:4" ht="12.75" customHeight="1">
      <c r="A6" t="s">
        <v>13</v>
      </c>
      <c r="B6">
        <v>25</v>
      </c>
      <c r="C6">
        <v>0</v>
      </c>
    </row>
    <row r="7" spans="1:4" ht="12.75" customHeight="1">
      <c r="A7" t="s">
        <v>14</v>
      </c>
      <c r="B7">
        <v>50</v>
      </c>
      <c r="C7">
        <v>0</v>
      </c>
    </row>
    <row r="8" spans="1:4" ht="12.75" customHeight="1">
      <c r="A8" t="s">
        <v>103</v>
      </c>
      <c r="B8">
        <v>900</v>
      </c>
      <c r="C8">
        <v>0</v>
      </c>
    </row>
    <row r="9" spans="1:4" ht="12.75" customHeight="1">
      <c r="A9" t="s">
        <v>104</v>
      </c>
      <c r="B9">
        <v>60</v>
      </c>
      <c r="C9">
        <v>0</v>
      </c>
    </row>
    <row r="10" spans="1:4" ht="12.75" customHeight="1">
      <c r="A10" t="s">
        <v>105</v>
      </c>
      <c r="B10">
        <v>1000</v>
      </c>
      <c r="C10">
        <v>0</v>
      </c>
    </row>
    <row r="11" spans="1:4" ht="12.75" customHeight="1">
      <c r="A11" s="1" t="s">
        <v>106</v>
      </c>
      <c r="B11">
        <v>18</v>
      </c>
      <c r="C11" s="3">
        <v>0</v>
      </c>
    </row>
  </sheetData>
  <phoneticPr fontId="32" type="noConversion"/>
  <pageMargins left="0.75" right="0.75" top="1" bottom="1" header="0.5" footer="0.5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D11"/>
  <sheetViews>
    <sheetView workbookViewId="0">
      <selection activeCell="E27" sqref="E27"/>
    </sheetView>
  </sheetViews>
  <sheetFormatPr baseColWidth="10" defaultColWidth="17.1640625" defaultRowHeight="12.75" customHeight="1" x14ac:dyDescent="0"/>
  <sheetData>
    <row r="1" spans="1:4" ht="12.75" customHeight="1">
      <c r="A1" t="s">
        <v>86</v>
      </c>
      <c r="B1" t="s">
        <v>87</v>
      </c>
      <c r="C1" t="s">
        <v>88</v>
      </c>
      <c r="D1" t="s">
        <v>89</v>
      </c>
    </row>
    <row r="2" spans="1:4" ht="12.75" customHeight="1">
      <c r="A2" t="s">
        <v>9</v>
      </c>
      <c r="B2">
        <v>2000</v>
      </c>
      <c r="C2">
        <v>850</v>
      </c>
      <c r="D2">
        <v>1150</v>
      </c>
    </row>
    <row r="3" spans="1:4" ht="12.75" customHeight="1">
      <c r="A3" t="s">
        <v>10</v>
      </c>
      <c r="B3">
        <v>65</v>
      </c>
      <c r="D3">
        <f>0.75*B3</f>
        <v>48.75</v>
      </c>
    </row>
    <row r="4" spans="1:4" ht="12.75" customHeight="1">
      <c r="A4" t="s">
        <v>11</v>
      </c>
      <c r="B4">
        <v>2400</v>
      </c>
      <c r="D4">
        <f>0.75*B4</f>
        <v>1800</v>
      </c>
    </row>
    <row r="5" spans="1:4" ht="12.75" customHeight="1">
      <c r="A5" t="s">
        <v>12</v>
      </c>
      <c r="B5">
        <v>300</v>
      </c>
      <c r="D5">
        <f>0.75*B5</f>
        <v>225</v>
      </c>
    </row>
    <row r="6" spans="1:4" ht="12.75" customHeight="1">
      <c r="A6" t="s">
        <v>13</v>
      </c>
      <c r="B6">
        <v>25</v>
      </c>
      <c r="C6">
        <f t="shared" ref="C6:C7" si="0">0.5*B6</f>
        <v>12.5</v>
      </c>
    </row>
    <row r="7" spans="1:4" ht="12.75" customHeight="1">
      <c r="A7" t="s">
        <v>14</v>
      </c>
      <c r="B7">
        <v>50</v>
      </c>
      <c r="C7">
        <f t="shared" si="0"/>
        <v>25</v>
      </c>
    </row>
    <row r="8" spans="1:4" ht="12.75" customHeight="1">
      <c r="A8" t="s">
        <v>103</v>
      </c>
      <c r="B8" s="20">
        <v>1</v>
      </c>
      <c r="C8">
        <v>0.5</v>
      </c>
    </row>
    <row r="9" spans="1:4" ht="12.75" customHeight="1">
      <c r="A9" t="s">
        <v>104</v>
      </c>
      <c r="B9" s="20">
        <v>1</v>
      </c>
      <c r="C9">
        <v>0.5</v>
      </c>
    </row>
    <row r="10" spans="1:4" ht="12.75" customHeight="1">
      <c r="A10" t="s">
        <v>105</v>
      </c>
      <c r="B10" s="20">
        <v>1</v>
      </c>
      <c r="C10">
        <v>0.5</v>
      </c>
    </row>
    <row r="11" spans="1:4" ht="12.75" customHeight="1">
      <c r="A11" s="1" t="s">
        <v>106</v>
      </c>
      <c r="B11" s="20">
        <v>1</v>
      </c>
      <c r="C11" s="3">
        <v>0.5</v>
      </c>
    </row>
  </sheetData>
  <phoneticPr fontId="32" type="noConversion"/>
  <pageMargins left="0.75" right="0.75" top="1" bottom="1" header="0.5" footer="0.5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Ingredient</vt:lpstr>
      <vt:lpstr>Dish</vt:lpstr>
      <vt:lpstr>Meal</vt:lpstr>
      <vt:lpstr>Nutrition Limits</vt:lpstr>
      <vt:lpstr>Nutrition Limits original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Aaron Brown</cp:lastModifiedBy>
  <cp:lastPrinted>2013-08-07T17:56:40Z</cp:lastPrinted>
  <dcterms:created xsi:type="dcterms:W3CDTF">2013-08-03T04:27:17Z</dcterms:created>
  <dcterms:modified xsi:type="dcterms:W3CDTF">2013-08-08T01:20:01Z</dcterms:modified>
</cp:coreProperties>
</file>